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dhi\Desktop\"/>
    </mc:Choice>
  </mc:AlternateContent>
  <bookViews>
    <workbookView xWindow="0" yWindow="456" windowWidth="23040" windowHeight="10764"/>
  </bookViews>
  <sheets>
    <sheet name="Patient Log" sheetId="1" r:id="rId1"/>
    <sheet name="Site Analysis" sheetId="2" r:id="rId2"/>
    <sheet name="Dimension Analysis" sheetId="3" r:id="rId3"/>
    <sheet name="Brand &amp; Surgeon Summary" sheetId="4" r:id="rId4"/>
    <sheet name="Instructions &amp; Key" sheetId="5" r:id="rId5"/>
  </sheets>
  <calcPr calcId="152511"/>
</workbook>
</file>

<file path=xl/calcChain.xml><?xml version="1.0" encoding="utf-8"?>
<calcChain xmlns="http://schemas.openxmlformats.org/spreadsheetml/2006/main">
  <c r="B20" i="4" l="1"/>
  <c r="C20" i="4" s="1"/>
  <c r="B19" i="4"/>
  <c r="C19" i="4" s="1"/>
  <c r="B18" i="4"/>
  <c r="C18" i="4" s="1"/>
  <c r="B17" i="4"/>
  <c r="B21" i="4" s="1"/>
  <c r="B12" i="4"/>
  <c r="C12" i="4" s="1"/>
  <c r="B11" i="4"/>
  <c r="C11" i="4" s="1"/>
  <c r="B10" i="4"/>
  <c r="C5" i="4" s="1"/>
  <c r="B9" i="4"/>
  <c r="C9" i="4" s="1"/>
  <c r="B8" i="4"/>
  <c r="C6" i="4" s="1"/>
  <c r="C7" i="4"/>
  <c r="B7" i="4"/>
  <c r="B6" i="4"/>
  <c r="B5" i="4"/>
  <c r="B13" i="4" s="1"/>
  <c r="K47" i="3"/>
  <c r="J47" i="3"/>
  <c r="I47" i="3"/>
  <c r="H47" i="3"/>
  <c r="G47" i="3"/>
  <c r="F47" i="3"/>
  <c r="E47" i="3"/>
  <c r="D47" i="3"/>
  <c r="C47" i="3"/>
  <c r="B47" i="3"/>
  <c r="K46" i="3"/>
  <c r="J46" i="3"/>
  <c r="I46" i="3"/>
  <c r="H46" i="3"/>
  <c r="G46" i="3"/>
  <c r="F46" i="3"/>
  <c r="E46" i="3"/>
  <c r="D46" i="3"/>
  <c r="C46" i="3"/>
  <c r="B46" i="3"/>
  <c r="K45" i="3"/>
  <c r="J45" i="3"/>
  <c r="I45" i="3"/>
  <c r="H45" i="3"/>
  <c r="G45" i="3"/>
  <c r="F45" i="3"/>
  <c r="E45" i="3"/>
  <c r="D45" i="3"/>
  <c r="C45" i="3"/>
  <c r="B45" i="3"/>
  <c r="K44" i="3"/>
  <c r="J44" i="3"/>
  <c r="I44" i="3"/>
  <c r="H44" i="3"/>
  <c r="G44" i="3"/>
  <c r="F44" i="3"/>
  <c r="E44" i="3"/>
  <c r="D44" i="3"/>
  <c r="C44" i="3"/>
  <c r="B44" i="3"/>
  <c r="K43" i="3"/>
  <c r="J43" i="3"/>
  <c r="I43" i="3"/>
  <c r="H43" i="3"/>
  <c r="G43" i="3"/>
  <c r="F43" i="3"/>
  <c r="E43" i="3"/>
  <c r="D43" i="3"/>
  <c r="C43" i="3"/>
  <c r="B43" i="3"/>
  <c r="K42" i="3"/>
  <c r="J42" i="3"/>
  <c r="I42" i="3"/>
  <c r="H42" i="3"/>
  <c r="G42" i="3"/>
  <c r="F42" i="3"/>
  <c r="E42" i="3"/>
  <c r="D42" i="3"/>
  <c r="C42" i="3"/>
  <c r="B42" i="3"/>
  <c r="K41" i="3"/>
  <c r="J41" i="3"/>
  <c r="I41" i="3"/>
  <c r="H41" i="3"/>
  <c r="G41" i="3"/>
  <c r="F41" i="3"/>
  <c r="E41" i="3"/>
  <c r="D41" i="3"/>
  <c r="C41" i="3"/>
  <c r="B41" i="3"/>
  <c r="K40" i="3"/>
  <c r="J40" i="3"/>
  <c r="I40" i="3"/>
  <c r="H40" i="3"/>
  <c r="G40" i="3"/>
  <c r="F40" i="3"/>
  <c r="E40" i="3"/>
  <c r="D40" i="3"/>
  <c r="C40" i="3"/>
  <c r="B40" i="3"/>
  <c r="K39" i="3"/>
  <c r="J39" i="3"/>
  <c r="I39" i="3"/>
  <c r="H39" i="3"/>
  <c r="G39" i="3"/>
  <c r="F39" i="3"/>
  <c r="E39" i="3"/>
  <c r="D39" i="3"/>
  <c r="C39" i="3"/>
  <c r="B39" i="3"/>
  <c r="K38" i="3"/>
  <c r="J38" i="3"/>
  <c r="I38" i="3"/>
  <c r="H38" i="3"/>
  <c r="G38" i="3"/>
  <c r="F38" i="3"/>
  <c r="E38" i="3"/>
  <c r="D38" i="3"/>
  <c r="C38" i="3"/>
  <c r="B38" i="3"/>
  <c r="K37" i="3"/>
  <c r="J37" i="3"/>
  <c r="I37" i="3"/>
  <c r="H37" i="3"/>
  <c r="G37" i="3"/>
  <c r="F37" i="3"/>
  <c r="E37" i="3"/>
  <c r="D37" i="3"/>
  <c r="C37" i="3"/>
  <c r="B37" i="3"/>
  <c r="K36" i="3"/>
  <c r="J36" i="3"/>
  <c r="I36" i="3"/>
  <c r="H36" i="3"/>
  <c r="G36" i="3"/>
  <c r="F36" i="3"/>
  <c r="E36" i="3"/>
  <c r="D36" i="3"/>
  <c r="C36" i="3"/>
  <c r="B36" i="3"/>
  <c r="B30" i="3"/>
  <c r="B29" i="3"/>
  <c r="C29" i="3" s="1"/>
  <c r="B28" i="3"/>
  <c r="B27" i="3"/>
  <c r="C27" i="3" s="1"/>
  <c r="B26" i="3"/>
  <c r="B25" i="3"/>
  <c r="C25" i="3" s="1"/>
  <c r="B24" i="3"/>
  <c r="B23" i="3"/>
  <c r="C23" i="3" s="1"/>
  <c r="B22" i="3"/>
  <c r="B21" i="3"/>
  <c r="C21" i="3" s="1"/>
  <c r="B16" i="3"/>
  <c r="C16" i="3" s="1"/>
  <c r="B15" i="3"/>
  <c r="B14" i="3"/>
  <c r="C14" i="3" s="1"/>
  <c r="B13" i="3"/>
  <c r="B12" i="3"/>
  <c r="C12" i="3" s="1"/>
  <c r="B11" i="3"/>
  <c r="B10" i="3"/>
  <c r="C10" i="3" s="1"/>
  <c r="B9" i="3"/>
  <c r="B8" i="3"/>
  <c r="C8" i="3" s="1"/>
  <c r="B7" i="3"/>
  <c r="B6" i="3"/>
  <c r="C6" i="3" s="1"/>
  <c r="B5" i="3"/>
  <c r="B17" i="3" s="1"/>
  <c r="D31" i="2"/>
  <c r="E31" i="2" s="1"/>
  <c r="D30" i="2"/>
  <c r="D29" i="2"/>
  <c r="E29" i="2" s="1"/>
  <c r="D28" i="2"/>
  <c r="E28" i="2" s="1"/>
  <c r="D27" i="2"/>
  <c r="E27" i="2" s="1"/>
  <c r="D26" i="2"/>
  <c r="D25" i="2"/>
  <c r="D24" i="2"/>
  <c r="E24" i="2" s="1"/>
  <c r="D23" i="2"/>
  <c r="E23" i="2" s="1"/>
  <c r="D22" i="2"/>
  <c r="D21" i="2"/>
  <c r="E21" i="2" s="1"/>
  <c r="D20" i="2"/>
  <c r="E20" i="2" s="1"/>
  <c r="D19" i="2"/>
  <c r="E19" i="2" s="1"/>
  <c r="D18" i="2"/>
  <c r="D17" i="2"/>
  <c r="D16" i="2"/>
  <c r="E16" i="2" s="1"/>
  <c r="D15" i="2"/>
  <c r="E15" i="2" s="1"/>
  <c r="D14" i="2"/>
  <c r="D13" i="2"/>
  <c r="E13" i="2" s="1"/>
  <c r="D12" i="2"/>
  <c r="E12" i="2" s="1"/>
  <c r="D11" i="2"/>
  <c r="E11" i="2" s="1"/>
  <c r="D10" i="2"/>
  <c r="D9" i="2"/>
  <c r="D8" i="2"/>
  <c r="E8" i="2" s="1"/>
  <c r="D7" i="2"/>
  <c r="E7" i="2" s="1"/>
  <c r="D6" i="2"/>
  <c r="D5" i="2"/>
  <c r="E5" i="2" s="1"/>
  <c r="D4" i="2"/>
  <c r="E4" i="2" s="1"/>
  <c r="D6" i="4"/>
  <c r="F28" i="2"/>
  <c r="F20" i="2"/>
  <c r="F12" i="2"/>
  <c r="F4" i="2"/>
  <c r="F25" i="2"/>
  <c r="F17" i="2"/>
  <c r="F9" i="2"/>
  <c r="D20" i="4"/>
  <c r="D11" i="4"/>
  <c r="D17" i="4"/>
  <c r="D8" i="4"/>
  <c r="F30" i="2"/>
  <c r="F22" i="2"/>
  <c r="F14" i="2"/>
  <c r="F6" i="2"/>
  <c r="D5" i="4"/>
  <c r="F27" i="2"/>
  <c r="F19" i="2"/>
  <c r="F11" i="2"/>
  <c r="F26" i="2"/>
  <c r="F18" i="2"/>
  <c r="F10" i="2"/>
  <c r="D19" i="4"/>
  <c r="D10" i="4"/>
  <c r="F24" i="2"/>
  <c r="F16" i="2"/>
  <c r="F8" i="2"/>
  <c r="F29" i="2"/>
  <c r="F21" i="2"/>
  <c r="F13" i="2"/>
  <c r="F5" i="2"/>
  <c r="D7" i="4"/>
  <c r="D12" i="4"/>
  <c r="D18" i="4"/>
  <c r="D9" i="4"/>
  <c r="F31" i="2"/>
  <c r="F23" i="2"/>
  <c r="F15" i="2"/>
  <c r="F7" i="2"/>
  <c r="E10" i="2" l="1"/>
  <c r="E18" i="2"/>
  <c r="E26" i="2"/>
  <c r="C7" i="3"/>
  <c r="C11" i="3"/>
  <c r="C15" i="3"/>
  <c r="C22" i="3"/>
  <c r="C26" i="3"/>
  <c r="C30" i="3"/>
  <c r="C10" i="4"/>
  <c r="D32" i="2"/>
  <c r="B31" i="3"/>
  <c r="E6" i="2"/>
  <c r="E32" i="2" s="1"/>
  <c r="E14" i="2"/>
  <c r="E22" i="2"/>
  <c r="E30" i="2"/>
  <c r="C5" i="3"/>
  <c r="C9" i="3"/>
  <c r="C13" i="3"/>
  <c r="C24" i="3"/>
  <c r="C28" i="3"/>
  <c r="C8" i="4"/>
  <c r="C17" i="4"/>
  <c r="E9" i="2"/>
  <c r="E17" i="2"/>
  <c r="E25" i="2"/>
  <c r="C17" i="3" l="1"/>
</calcChain>
</file>

<file path=xl/sharedStrings.xml><?xml version="1.0" encoding="utf-8"?>
<sst xmlns="http://schemas.openxmlformats.org/spreadsheetml/2006/main" count="382" uniqueCount="174">
  <si>
    <t>DENTAL IMPLANT PATIENT DATA LOG</t>
  </si>
  <si>
    <t>Comprehensive Implant Tracking &amp; Analysis System</t>
  </si>
  <si>
    <t>Patient ID</t>
  </si>
  <si>
    <t>Patient Name</t>
  </si>
  <si>
    <t>Date of Surgery</t>
  </si>
  <si>
    <t>Surgeon</t>
  </si>
  <si>
    <t>Tooth / Site #</t>
  </si>
  <si>
    <t>Arch</t>
  </si>
  <si>
    <t>Jaw Region</t>
  </si>
  <si>
    <t>Implant Brand</t>
  </si>
  <si>
    <t>Implant System</t>
  </si>
  <si>
    <t>Implant Diameter (mm)</t>
  </si>
  <si>
    <t>Implant Length (mm)</t>
  </si>
  <si>
    <t>Cover Screw</t>
  </si>
  <si>
    <t>Healing Abutment</t>
  </si>
  <si>
    <t>Bone Graft Used</t>
  </si>
  <si>
    <t>Membrane Used</t>
  </si>
  <si>
    <t>Torque Value (Ncm)</t>
  </si>
  <si>
    <t>ISQ Value</t>
  </si>
  <si>
    <t>Follow-up Date</t>
  </si>
  <si>
    <t>Notes / Complications</t>
  </si>
  <si>
    <t>PT-001</t>
  </si>
  <si>
    <t>Dr. Garcia</t>
  </si>
  <si>
    <t>#14</t>
  </si>
  <si>
    <t>Upper</t>
  </si>
  <si>
    <t>Posterior</t>
  </si>
  <si>
    <t>Straumann</t>
  </si>
  <si>
    <t>BL Roxolid</t>
  </si>
  <si>
    <t>Yes</t>
  </si>
  <si>
    <t>No</t>
  </si>
  <si>
    <t>Excellent primary stability</t>
  </si>
  <si>
    <t>PT-002</t>
  </si>
  <si>
    <t>Robert Chen</t>
  </si>
  <si>
    <t>Dr. Patel</t>
  </si>
  <si>
    <t>#36</t>
  </si>
  <si>
    <t>Lower</t>
  </si>
  <si>
    <t>Nobel</t>
  </si>
  <si>
    <t>Active CC</t>
  </si>
  <si>
    <t>PT-003</t>
  </si>
  <si>
    <t>Maria Lopez</t>
  </si>
  <si>
    <t>#21</t>
  </si>
  <si>
    <t>Anterior</t>
  </si>
  <si>
    <t>TL SLA</t>
  </si>
  <si>
    <t>Narrow ridge, bone augmentation planned</t>
  </si>
  <si>
    <t>PT-004</t>
  </si>
  <si>
    <t>David Kim</t>
  </si>
  <si>
    <t>Dr. Wong</t>
  </si>
  <si>
    <t>#46</t>
  </si>
  <si>
    <t>Dentsply</t>
  </si>
  <si>
    <t>XiVE S</t>
  </si>
  <si>
    <t>Guided surgery used</t>
  </si>
  <si>
    <t>PT-005</t>
  </si>
  <si>
    <t>Susan Taylor</t>
  </si>
  <si>
    <t>#11</t>
  </si>
  <si>
    <t>PT-006</t>
  </si>
  <si>
    <t>James Wilson</t>
  </si>
  <si>
    <t>#26</t>
  </si>
  <si>
    <t>Zimmer</t>
  </si>
  <si>
    <t>Tapered Screw</t>
  </si>
  <si>
    <t>Sinus lift performed</t>
  </si>
  <si>
    <t>PT-007</t>
  </si>
  <si>
    <t>Emily Brown</t>
  </si>
  <si>
    <t>#45</t>
  </si>
  <si>
    <t>PT-008</t>
  </si>
  <si>
    <t>Michael Davis</t>
  </si>
  <si>
    <t>#16</t>
  </si>
  <si>
    <t>BioHorizons</t>
  </si>
  <si>
    <t>Tapered Internal</t>
  </si>
  <si>
    <t>Immediate placement</t>
  </si>
  <si>
    <t>PT-009</t>
  </si>
  <si>
    <t>Patricia Johnson</t>
  </si>
  <si>
    <t>#31</t>
  </si>
  <si>
    <t>Low ISQ — monitor</t>
  </si>
  <si>
    <t>PT-010</t>
  </si>
  <si>
    <t>Christopher Lee</t>
  </si>
  <si>
    <t>Second implant same patient</t>
  </si>
  <si>
    <t>PT-011</t>
  </si>
  <si>
    <t>Jennifer Martinez</t>
  </si>
  <si>
    <t>PT-012</t>
  </si>
  <si>
    <t>Daniel Anderson</t>
  </si>
  <si>
    <t>#22</t>
  </si>
  <si>
    <t>PT-013</t>
  </si>
  <si>
    <t>Amanda Thomas</t>
  </si>
  <si>
    <t>Bone graft — xenograft</t>
  </si>
  <si>
    <t>PT-014</t>
  </si>
  <si>
    <t>Kevin Jackson</t>
  </si>
  <si>
    <t>#15</t>
  </si>
  <si>
    <t>PT-015</t>
  </si>
  <si>
    <t>Stephanie White</t>
  </si>
  <si>
    <t>#25</t>
  </si>
  <si>
    <t>Thin buccal plate noted</t>
  </si>
  <si>
    <t>IMPLANT SITE USAGE ANALYSIS</t>
  </si>
  <si>
    <t>Count of implants placed at each tooth site — auto-updates when new rows are added to Patient Log</t>
  </si>
  <si>
    <t>Implant Count</t>
  </si>
  <si>
    <t>% of Total</t>
  </si>
  <si>
    <t>Last Surgery Date</t>
  </si>
  <si>
    <t>#12</t>
  </si>
  <si>
    <t>#13</t>
  </si>
  <si>
    <t>#17</t>
  </si>
  <si>
    <t>#23</t>
  </si>
  <si>
    <t>#24</t>
  </si>
  <si>
    <t>#27</t>
  </si>
  <si>
    <t>#32</t>
  </si>
  <si>
    <t>#33</t>
  </si>
  <si>
    <t>#34</t>
  </si>
  <si>
    <t>#35</t>
  </si>
  <si>
    <t>#37</t>
  </si>
  <si>
    <t>#41</t>
  </si>
  <si>
    <t>#42</t>
  </si>
  <si>
    <t>#43</t>
  </si>
  <si>
    <t>#44</t>
  </si>
  <si>
    <t>#47</t>
  </si>
  <si>
    <t>TOTAL</t>
  </si>
  <si>
    <t>IMPLANT DIMENSION USAGE ANALYSIS</t>
  </si>
  <si>
    <t>Diameter × Length combination counts — auto-updated from Patient Log</t>
  </si>
  <si>
    <t>DIAMETER COUNTS</t>
  </si>
  <si>
    <t>Diameter (mm)</t>
  </si>
  <si>
    <t>Count</t>
  </si>
  <si>
    <t>% Share</t>
  </si>
  <si>
    <t>LENGTH COUNTS</t>
  </si>
  <si>
    <t>Length (mm)</t>
  </si>
  <si>
    <t>100.0%</t>
  </si>
  <si>
    <t>DIAMETER × LENGTH COMBINATION MATRIX</t>
  </si>
  <si>
    <t>Diam \ Length</t>
  </si>
  <si>
    <t>BRAND &amp; SURGEON SUMMARY</t>
  </si>
  <si>
    <t>Usage counts by implant brand and surgeon — auto-updated from Patient Log</t>
  </si>
  <si>
    <t>IMPLANT BRAND COUNTS</t>
  </si>
  <si>
    <t>Brand</t>
  </si>
  <si>
    <t>Systems Used</t>
  </si>
  <si>
    <t>Osstem</t>
  </si>
  <si>
    <t>Megagen</t>
  </si>
  <si>
    <t>Other</t>
  </si>
  <si>
    <t>SURGEON COUNTS</t>
  </si>
  <si>
    <t>Implants Placed</t>
  </si>
  <si>
    <t>Sites Used</t>
  </si>
  <si>
    <t>DENTAL IMPLANT LOG — INSTRUCTIONS &amp; DATA KEY</t>
  </si>
  <si>
    <t>HOW TO USE THIS WORKBOOK</t>
  </si>
  <si>
    <t>1. DATA ENTRY</t>
  </si>
  <si>
    <t xml:space="preserve">   • Open the 'Patient Log' sheet to add new patient records.</t>
  </si>
  <si>
    <t xml:space="preserve">   • Each row = one implant. If a patient receives multiple implants, add a row for each.</t>
  </si>
  <si>
    <t xml:space="preserve">   • Dropdown menus are provided for: Arch, Jaw Region, Brand, Diameter, Length, and Yes/No fields.</t>
  </si>
  <si>
    <t xml:space="preserve">   • Date columns use yyyy-mm-dd format.</t>
  </si>
  <si>
    <t>2. ANALYSIS — AUTO-UPDATES</t>
  </si>
  <si>
    <t xml:space="preserve">   • 'Site Analysis' — counts how many implants were placed at each tooth site (#11–#47).</t>
  </si>
  <si>
    <t xml:space="preserve">   • 'Dimension Analysis' — counts how often each diameter and length was used, plus a combination matrix.</t>
  </si>
  <si>
    <t xml:space="preserve">   • 'Brand &amp; Surgeon Summary' — counts implants by brand and by surgeon.</t>
  </si>
  <si>
    <t xml:space="preserve">   • All analysis sheets use COUNTIF/COUNTIFS formulas linked to the Patient Log — add rows and they update automatically.</t>
  </si>
  <si>
    <t>3. COLUMN KEY — PATIENT LOG</t>
  </si>
  <si>
    <t xml:space="preserve">   Column A  Patient ID          Unique identifier (e.g., PT-001)</t>
  </si>
  <si>
    <t xml:space="preserve">   Column B  Patient Name        Full name</t>
  </si>
  <si>
    <t xml:space="preserve">   Column C  Date of Surgery     Date implant was placed</t>
  </si>
  <si>
    <t xml:space="preserve">   Column D  Surgeon             Operator / clinician</t>
  </si>
  <si>
    <t xml:space="preserve">   Column E  Tooth / Site #      FDI notation (e.g., #14, #36)</t>
  </si>
  <si>
    <t xml:space="preserve">   Column F  Arch                Upper or Lower</t>
  </si>
  <si>
    <t xml:space="preserve">   Column G  Jaw Region          Anterior or Posterior</t>
  </si>
  <si>
    <t xml:space="preserve">   Column H  Implant Brand       Manufacturer name</t>
  </si>
  <si>
    <t xml:space="preserve">   Column I  Implant System      Product line / system name</t>
  </si>
  <si>
    <t xml:space="preserve">   Column J  Diameter (mm)       Implant body diameter in millimetres</t>
  </si>
  <si>
    <t xml:space="preserve">   Column K  Length (mm)         Implant body length in millimetres</t>
  </si>
  <si>
    <t xml:space="preserve">   Column L  Cover Screw         Yes/No — cover screw placed at time of surgery</t>
  </si>
  <si>
    <t xml:space="preserve">   Column M  Healing Abutment    Yes/No — immediate healing abutment placed</t>
  </si>
  <si>
    <t xml:space="preserve">   Column N  Bone Graft Used     Yes/No — any grafting material placed</t>
  </si>
  <si>
    <t xml:space="preserve">   Column O  Membrane Used       Yes/No — barrier membrane used</t>
  </si>
  <si>
    <t xml:space="preserve">   Column P  Torque Value (Ncm)  Insertion torque achieved</t>
  </si>
  <si>
    <t xml:space="preserve">   Column Q  ISQ Value           Implant Stability Quotient (Osstell or similar)</t>
  </si>
  <si>
    <t xml:space="preserve">   Column R  Follow-up Date      Scheduled follow-up / uncovering date</t>
  </si>
  <si>
    <t xml:space="preserve">   Column S  Notes/Complications Free text — complications, special considerations, etc.</t>
  </si>
  <si>
    <t>4. IMPORTANT NOTES</t>
  </si>
  <si>
    <t xml:space="preserve">   • Formulas reference the entire columns of the Patient Log — do not move the header row.</t>
  </si>
  <si>
    <t xml:space="preserve">   • Keep tooth site notation consistent (e.g., always #14, not 14 or Tooth 14).</t>
  </si>
  <si>
    <t xml:space="preserve">   • Diameter and length values must match the dropdown values exactly for analysis to count correctly.</t>
  </si>
  <si>
    <t xml:space="preserve">   • This file does NOT contain macros. All calculations are standard Excel formulas.</t>
  </si>
  <si>
    <t xml:space="preserve">   • Charts in the analysis sheets use static data ranges. If many new sites/brands are added, extend the chart range manually.</t>
  </si>
  <si>
    <t>midhilesh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</si>
</sst>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0.0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</font>
    <font>
      <sz val="10"/>
      <color rgb="FF4A4A4A"/>
      <name val="Calibri"/>
    </font>
    <font>
      <b/>
      <sz val="14"/>
      <color rgb="FFFFFFFF"/>
      <name val="Calibri"/>
    </font>
    <font>
      <i/>
      <sz val="10"/>
      <color rgb="FFFFFFFF"/>
      <name val="Calibri"/>
    </font>
    <font>
      <b/>
      <sz val="11"/>
      <color rgb="FF4A4A4A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1A3A5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2E86AB"/>
        <bgColor rgb="FF2E86AB"/>
      </patternFill>
    </fill>
    <fill>
      <patternFill patternType="solid">
        <fgColor rgb="FFFFFFFF"/>
        <bgColor rgb="FFFFFFFF"/>
      </patternFill>
    </fill>
    <fill>
      <patternFill patternType="solid">
        <fgColor rgb="FFF2F6FA"/>
        <bgColor rgb="FFF2F6FA"/>
      </patternFill>
    </fill>
    <fill>
      <patternFill patternType="solid">
        <fgColor rgb="FFE8A838"/>
        <bgColor rgb="FFE8A838"/>
      </patternFill>
    </fill>
  </fills>
  <borders count="2">
    <border>
      <left/>
      <right/>
      <top/>
      <bottom/>
      <diagonal/>
    </border>
    <border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Implants Placed by Tooth Site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'Site Analysis'!$D$3</c:f>
              <c:strCache>
                <c:ptCount val="1"/>
                <c:pt idx="0">
                  <c:v>Implant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'Site Analysis'!$A$4:$A$31</c:f>
              <c:strCache>
                <c:ptCount val="28"/>
                <c:pt idx="0">
                  <c:v>#11</c:v>
                </c:pt>
                <c:pt idx="1">
                  <c:v>#12</c:v>
                </c:pt>
                <c:pt idx="2">
                  <c:v>#13</c:v>
                </c:pt>
                <c:pt idx="3">
                  <c:v>#14</c:v>
                </c:pt>
                <c:pt idx="4">
                  <c:v>#15</c:v>
                </c:pt>
                <c:pt idx="5">
                  <c:v>#16</c:v>
                </c:pt>
                <c:pt idx="6">
                  <c:v>#17</c:v>
                </c:pt>
                <c:pt idx="7">
                  <c:v>#21</c:v>
                </c:pt>
                <c:pt idx="8">
                  <c:v>#22</c:v>
                </c:pt>
                <c:pt idx="9">
                  <c:v>#23</c:v>
                </c:pt>
                <c:pt idx="10">
                  <c:v>#24</c:v>
                </c:pt>
                <c:pt idx="11">
                  <c:v>#25</c:v>
                </c:pt>
                <c:pt idx="12">
                  <c:v>#26</c:v>
                </c:pt>
                <c:pt idx="13">
                  <c:v>#27</c:v>
                </c:pt>
                <c:pt idx="14">
                  <c:v>#31</c:v>
                </c:pt>
                <c:pt idx="15">
                  <c:v>#32</c:v>
                </c:pt>
                <c:pt idx="16">
                  <c:v>#33</c:v>
                </c:pt>
                <c:pt idx="17">
                  <c:v>#34</c:v>
                </c:pt>
                <c:pt idx="18">
                  <c:v>#35</c:v>
                </c:pt>
                <c:pt idx="19">
                  <c:v>#36</c:v>
                </c:pt>
                <c:pt idx="20">
                  <c:v>#37</c:v>
                </c:pt>
                <c:pt idx="21">
                  <c:v>#41</c:v>
                </c:pt>
                <c:pt idx="22">
                  <c:v>#42</c:v>
                </c:pt>
                <c:pt idx="23">
                  <c:v>#43</c:v>
                </c:pt>
                <c:pt idx="24">
                  <c:v>#44</c:v>
                </c:pt>
                <c:pt idx="25">
                  <c:v>#45</c:v>
                </c:pt>
                <c:pt idx="26">
                  <c:v>#46</c:v>
                </c:pt>
                <c:pt idx="27">
                  <c:v>#47</c:v>
                </c:pt>
              </c:strCache>
            </c:strRef>
          </c:cat>
          <c:val>
            <c:numRef>
              <c:f>'Site Analysis'!$D$4:$D$31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52936"/>
        <c:axId val="203355680"/>
      </c:barChart>
      <c:catAx>
        <c:axId val="203352936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3355680"/>
        <c:crosses val="autoZero"/>
        <c:auto val="1"/>
        <c:lblAlgn val="ctr"/>
        <c:lblOffset val="100"/>
        <c:noMultiLvlLbl val="1"/>
      </c:catAx>
      <c:valAx>
        <c:axId val="20335568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Tooth Site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3352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Implant Diameter Distribution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'Dimension Analysis'!$B$4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'Dimension Analysis'!$A$5:$A$16</c:f>
              <c:numCache>
                <c:formatCode>0.0</c:formatCode>
                <c:ptCount val="12"/>
                <c:pt idx="0">
                  <c:v>3.3</c:v>
                </c:pt>
                <c:pt idx="1">
                  <c:v>3.5</c:v>
                </c:pt>
                <c:pt idx="2">
                  <c:v>3.7</c:v>
                </c:pt>
                <c:pt idx="3">
                  <c:v>3.8</c:v>
                </c:pt>
                <c:pt idx="4">
                  <c:v>4.0999999999999996</c:v>
                </c:pt>
                <c:pt idx="5">
                  <c:v>4.3</c:v>
                </c:pt>
                <c:pt idx="6">
                  <c:v>4.5</c:v>
                </c:pt>
                <c:pt idx="7">
                  <c:v>4.7</c:v>
                </c:pt>
                <c:pt idx="8">
                  <c:v>4.8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</c:numCache>
            </c:numRef>
          </c:cat>
          <c:val>
            <c:numRef>
              <c:f>'Dimension Analysis'!$B$5:$B$16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Implant Length Distribution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'Dimension Analysis'!$B$20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'Dimension Analysis'!$A$21:$A$30</c:f>
              <c:numCache>
                <c:formatCode>0.0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8.5</c:v>
                </c:pt>
                <c:pt idx="4">
                  <c:v>10</c:v>
                </c:pt>
                <c:pt idx="5">
                  <c:v>11.5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</c:numCache>
            </c:numRef>
          </c:cat>
          <c:val>
            <c:numRef>
              <c:f>'Dimension Analysis'!$B$21:$B$30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57640"/>
        <c:axId val="203353720"/>
      </c:barChart>
      <c:catAx>
        <c:axId val="20335764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Length (mm)</a:t>
                </a:r>
              </a:p>
            </c:rich>
          </c:tx>
          <c:layout/>
          <c:overlay val="1"/>
        </c:title>
        <c:numFmt formatCode="0.0" sourceLinked="1"/>
        <c:majorTickMark val="none"/>
        <c:minorTickMark val="none"/>
        <c:tickLblPos val="nextTo"/>
        <c:crossAx val="203353720"/>
        <c:crosses val="autoZero"/>
        <c:auto val="1"/>
        <c:lblAlgn val="ctr"/>
        <c:lblOffset val="100"/>
        <c:noMultiLvlLbl val="1"/>
      </c:catAx>
      <c:valAx>
        <c:axId val="2033537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3357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Implants by Brand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'Brand &amp; Surgeon Summary'!$B$4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'Brand &amp; Surgeon Summary'!$A$5:$A$12</c:f>
              <c:strCache>
                <c:ptCount val="8"/>
                <c:pt idx="0">
                  <c:v>Straumann</c:v>
                </c:pt>
                <c:pt idx="1">
                  <c:v>Nobel</c:v>
                </c:pt>
                <c:pt idx="2">
                  <c:v>Dentsply</c:v>
                </c:pt>
                <c:pt idx="3">
                  <c:v>Zimmer</c:v>
                </c:pt>
                <c:pt idx="4">
                  <c:v>BioHorizons</c:v>
                </c:pt>
                <c:pt idx="5">
                  <c:v>Osstem</c:v>
                </c:pt>
                <c:pt idx="6">
                  <c:v>Megagen</c:v>
                </c:pt>
                <c:pt idx="7">
                  <c:v>Other</c:v>
                </c:pt>
              </c:strCache>
            </c:strRef>
          </c:cat>
          <c:val>
            <c:numRef>
              <c:f>'Brand &amp; Surgeon Summary'!$B$5:$B$12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52152"/>
        <c:axId val="203352544"/>
      </c:barChart>
      <c:catAx>
        <c:axId val="203352152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3352544"/>
        <c:crosses val="autoZero"/>
        <c:auto val="1"/>
        <c:lblAlgn val="ctr"/>
        <c:lblOffset val="100"/>
        <c:noMultiLvlLbl val="1"/>
      </c:catAx>
      <c:valAx>
        <c:axId val="203352544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Brand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3352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7920000" cy="64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6480000" cy="50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6480000" cy="50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ImplantLog" displayName="ImplantLog" ref="A3:S18">
  <autoFilter ref="A3:S18"/>
  <tableColumns count="19">
    <tableColumn id="1" name="Patient ID"/>
    <tableColumn id="2" name="Patient Name"/>
    <tableColumn id="3" name="Date of Surgery"/>
    <tableColumn id="4" name="Surgeon"/>
    <tableColumn id="5" name="Tooth / Site #"/>
    <tableColumn id="6" name="Arch"/>
    <tableColumn id="7" name="Jaw Region"/>
    <tableColumn id="8" name="Implant Brand"/>
    <tableColumn id="9" name="Implant System"/>
    <tableColumn id="10" name="Implant Diameter (mm)"/>
    <tableColumn id="11" name="Implant Length (mm)"/>
    <tableColumn id="12" name="Cover Screw"/>
    <tableColumn id="13" name="Healing Abutment"/>
    <tableColumn id="14" name="Bone Graft Used"/>
    <tableColumn id="15" name="Membrane Used"/>
    <tableColumn id="16" name="Torque Value (Ncm)"/>
    <tableColumn id="17" name="ISQ Value"/>
    <tableColumn id="18" name="Follow-up Date"/>
    <tableColumn id="19" name="Notes / Complic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iteAnalysis" displayName="SiteAnalysis" ref="A3:F31">
  <autoFilter ref="A3:F31"/>
  <tableColumns count="6">
    <tableColumn id="1" name="Tooth / Site #"/>
    <tableColumn id="2" name="Arch"/>
    <tableColumn id="3" name="Jaw Region"/>
    <tableColumn id="4" name="Implant Count"/>
    <tableColumn id="5" name="% of Total"/>
    <tableColumn id="6" name="Last Surgery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A5C"/>
  </sheetPr>
  <dimension ref="A1:S18"/>
  <sheetViews>
    <sheetView showGridLines="0" tabSelected="1" topLeftCell="F1" workbookViewId="0">
      <pane ySplit="3" topLeftCell="A4" activePane="bottomLeft" state="frozen"/>
      <selection pane="bottomLeft" activeCell="B5" sqref="B5"/>
    </sheetView>
  </sheetViews>
  <sheetFormatPr defaultRowHeight="14.4" x14ac:dyDescent="0.3"/>
  <cols>
    <col min="1" max="1" width="10" customWidth="1"/>
    <col min="2" max="2" width="20" customWidth="1"/>
    <col min="3" max="3" width="14" customWidth="1"/>
    <col min="4" max="4" width="15" customWidth="1"/>
    <col min="5" max="5" width="12" customWidth="1"/>
    <col min="6" max="6" width="8" customWidth="1"/>
    <col min="7" max="7" width="11" customWidth="1"/>
    <col min="8" max="8" width="15" customWidth="1"/>
    <col min="9" max="9" width="18" customWidth="1"/>
    <col min="10" max="11" width="14" customWidth="1"/>
    <col min="12" max="12" width="10" customWidth="1"/>
    <col min="13" max="13" width="14" customWidth="1"/>
    <col min="14" max="16" width="13" customWidth="1"/>
    <col min="17" max="17" width="10" customWidth="1"/>
    <col min="18" max="18" width="14" customWidth="1"/>
    <col min="19" max="19" width="30" customWidth="1"/>
  </cols>
  <sheetData>
    <row r="1" spans="1:19" ht="34.049999999999997" customHeight="1" x14ac:dyDescent="0.3">
      <c r="A1" s="3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22.05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ht="42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ht="19.95" customHeight="1" x14ac:dyDescent="0.3">
      <c r="A4" s="2" t="s">
        <v>21</v>
      </c>
      <c r="B4" s="3" t="s">
        <v>173</v>
      </c>
      <c r="C4" s="4">
        <v>45306</v>
      </c>
      <c r="D4" s="3" t="s">
        <v>22</v>
      </c>
      <c r="E4" s="2" t="s">
        <v>23</v>
      </c>
      <c r="F4" s="2" t="s">
        <v>24</v>
      </c>
      <c r="G4" s="2" t="s">
        <v>25</v>
      </c>
      <c r="H4" s="3" t="s">
        <v>26</v>
      </c>
      <c r="I4" s="3" t="s">
        <v>27</v>
      </c>
      <c r="J4" s="5">
        <v>4.0999999999999996</v>
      </c>
      <c r="K4" s="5">
        <v>10</v>
      </c>
      <c r="L4" s="2" t="s">
        <v>28</v>
      </c>
      <c r="M4" s="2" t="s">
        <v>29</v>
      </c>
      <c r="N4" s="2" t="s">
        <v>28</v>
      </c>
      <c r="O4" s="2" t="s">
        <v>29</v>
      </c>
      <c r="P4" s="5">
        <v>35</v>
      </c>
      <c r="Q4" s="5">
        <v>68</v>
      </c>
      <c r="R4" s="4">
        <v>45397</v>
      </c>
      <c r="S4" s="3" t="s">
        <v>30</v>
      </c>
    </row>
    <row r="5" spans="1:19" ht="19.95" customHeight="1" x14ac:dyDescent="0.3">
      <c r="A5" s="6" t="s">
        <v>31</v>
      </c>
      <c r="B5" s="7" t="s">
        <v>32</v>
      </c>
      <c r="C5" s="8">
        <v>45313</v>
      </c>
      <c r="D5" s="7" t="s">
        <v>33</v>
      </c>
      <c r="E5" s="6" t="s">
        <v>34</v>
      </c>
      <c r="F5" s="6" t="s">
        <v>35</v>
      </c>
      <c r="G5" s="6" t="s">
        <v>25</v>
      </c>
      <c r="H5" s="7" t="s">
        <v>36</v>
      </c>
      <c r="I5" s="7" t="s">
        <v>37</v>
      </c>
      <c r="J5" s="9">
        <v>4.3</v>
      </c>
      <c r="K5" s="9">
        <v>11.5</v>
      </c>
      <c r="L5" s="6" t="s">
        <v>28</v>
      </c>
      <c r="M5" s="6" t="s">
        <v>29</v>
      </c>
      <c r="N5" s="6" t="s">
        <v>29</v>
      </c>
      <c r="O5" s="6" t="s">
        <v>29</v>
      </c>
      <c r="P5" s="9">
        <v>40</v>
      </c>
      <c r="Q5" s="9">
        <v>72</v>
      </c>
      <c r="R5" s="8">
        <v>45404</v>
      </c>
      <c r="S5" s="7"/>
    </row>
    <row r="6" spans="1:19" ht="19.95" customHeight="1" x14ac:dyDescent="0.3">
      <c r="A6" s="2" t="s">
        <v>38</v>
      </c>
      <c r="B6" s="3" t="s">
        <v>39</v>
      </c>
      <c r="C6" s="4">
        <v>45327</v>
      </c>
      <c r="D6" s="3" t="s">
        <v>22</v>
      </c>
      <c r="E6" s="2" t="s">
        <v>40</v>
      </c>
      <c r="F6" s="2" t="s">
        <v>24</v>
      </c>
      <c r="G6" s="2" t="s">
        <v>41</v>
      </c>
      <c r="H6" s="3" t="s">
        <v>26</v>
      </c>
      <c r="I6" s="3" t="s">
        <v>42</v>
      </c>
      <c r="J6" s="5">
        <v>3.3</v>
      </c>
      <c r="K6" s="5">
        <v>12</v>
      </c>
      <c r="L6" s="2" t="s">
        <v>28</v>
      </c>
      <c r="M6" s="2" t="s">
        <v>29</v>
      </c>
      <c r="N6" s="2" t="s">
        <v>29</v>
      </c>
      <c r="O6" s="2" t="s">
        <v>29</v>
      </c>
      <c r="P6" s="5">
        <v>30</v>
      </c>
      <c r="Q6" s="5">
        <v>65</v>
      </c>
      <c r="R6" s="4">
        <v>45417</v>
      </c>
      <c r="S6" s="3" t="s">
        <v>43</v>
      </c>
    </row>
    <row r="7" spans="1:19" ht="19.95" customHeight="1" x14ac:dyDescent="0.3">
      <c r="A7" s="6" t="s">
        <v>44</v>
      </c>
      <c r="B7" s="7" t="s">
        <v>45</v>
      </c>
      <c r="C7" s="8">
        <v>45334</v>
      </c>
      <c r="D7" s="7" t="s">
        <v>46</v>
      </c>
      <c r="E7" s="6" t="s">
        <v>47</v>
      </c>
      <c r="F7" s="6" t="s">
        <v>35</v>
      </c>
      <c r="G7" s="6" t="s">
        <v>25</v>
      </c>
      <c r="H7" s="7" t="s">
        <v>48</v>
      </c>
      <c r="I7" s="7" t="s">
        <v>49</v>
      </c>
      <c r="J7" s="9">
        <v>3.8</v>
      </c>
      <c r="K7" s="9">
        <v>13</v>
      </c>
      <c r="L7" s="6" t="s">
        <v>28</v>
      </c>
      <c r="M7" s="6" t="s">
        <v>29</v>
      </c>
      <c r="N7" s="6" t="s">
        <v>28</v>
      </c>
      <c r="O7" s="6" t="s">
        <v>28</v>
      </c>
      <c r="P7" s="9">
        <v>45</v>
      </c>
      <c r="Q7" s="9">
        <v>75</v>
      </c>
      <c r="R7" s="8">
        <v>45424</v>
      </c>
      <c r="S7" s="7" t="s">
        <v>50</v>
      </c>
    </row>
    <row r="8" spans="1:19" ht="19.95" customHeight="1" x14ac:dyDescent="0.3">
      <c r="A8" s="2" t="s">
        <v>51</v>
      </c>
      <c r="B8" s="3" t="s">
        <v>52</v>
      </c>
      <c r="C8" s="4">
        <v>45342</v>
      </c>
      <c r="D8" s="3" t="s">
        <v>33</v>
      </c>
      <c r="E8" s="2" t="s">
        <v>53</v>
      </c>
      <c r="F8" s="2" t="s">
        <v>24</v>
      </c>
      <c r="G8" s="2" t="s">
        <v>41</v>
      </c>
      <c r="H8" s="3" t="s">
        <v>36</v>
      </c>
      <c r="I8" s="3" t="s">
        <v>37</v>
      </c>
      <c r="J8" s="5">
        <v>3.5</v>
      </c>
      <c r="K8" s="5">
        <v>10</v>
      </c>
      <c r="L8" s="2" t="s">
        <v>28</v>
      </c>
      <c r="M8" s="2" t="s">
        <v>29</v>
      </c>
      <c r="N8" s="2" t="s">
        <v>29</v>
      </c>
      <c r="O8" s="2" t="s">
        <v>29</v>
      </c>
      <c r="P8" s="5">
        <v>32</v>
      </c>
      <c r="Q8" s="5">
        <v>70</v>
      </c>
      <c r="R8" s="4">
        <v>45432</v>
      </c>
      <c r="S8" s="3"/>
    </row>
    <row r="9" spans="1:19" ht="19.95" customHeight="1" x14ac:dyDescent="0.3">
      <c r="A9" s="6" t="s">
        <v>54</v>
      </c>
      <c r="B9" s="7" t="s">
        <v>55</v>
      </c>
      <c r="C9" s="8">
        <v>45355</v>
      </c>
      <c r="D9" s="7" t="s">
        <v>22</v>
      </c>
      <c r="E9" s="6" t="s">
        <v>56</v>
      </c>
      <c r="F9" s="6" t="s">
        <v>24</v>
      </c>
      <c r="G9" s="6" t="s">
        <v>25</v>
      </c>
      <c r="H9" s="7" t="s">
        <v>57</v>
      </c>
      <c r="I9" s="7" t="s">
        <v>58</v>
      </c>
      <c r="J9" s="9">
        <v>4.7</v>
      </c>
      <c r="K9" s="9">
        <v>11.5</v>
      </c>
      <c r="L9" s="6" t="s">
        <v>28</v>
      </c>
      <c r="M9" s="6" t="s">
        <v>29</v>
      </c>
      <c r="N9" s="6" t="s">
        <v>28</v>
      </c>
      <c r="O9" s="6" t="s">
        <v>28</v>
      </c>
      <c r="P9" s="9">
        <v>38</v>
      </c>
      <c r="Q9" s="9">
        <v>66</v>
      </c>
      <c r="R9" s="8">
        <v>45447</v>
      </c>
      <c r="S9" s="7" t="s">
        <v>59</v>
      </c>
    </row>
    <row r="10" spans="1:19" ht="19.95" customHeight="1" x14ac:dyDescent="0.3">
      <c r="A10" s="2" t="s">
        <v>60</v>
      </c>
      <c r="B10" s="3" t="s">
        <v>61</v>
      </c>
      <c r="C10" s="4">
        <v>45362</v>
      </c>
      <c r="D10" s="3" t="s">
        <v>46</v>
      </c>
      <c r="E10" s="2" t="s">
        <v>62</v>
      </c>
      <c r="F10" s="2" t="s">
        <v>35</v>
      </c>
      <c r="G10" s="2" t="s">
        <v>25</v>
      </c>
      <c r="H10" s="3" t="s">
        <v>26</v>
      </c>
      <c r="I10" s="3" t="s">
        <v>27</v>
      </c>
      <c r="J10" s="5">
        <v>4.0999999999999996</v>
      </c>
      <c r="K10" s="5">
        <v>12</v>
      </c>
      <c r="L10" s="2" t="s">
        <v>28</v>
      </c>
      <c r="M10" s="2" t="s">
        <v>29</v>
      </c>
      <c r="N10" s="2" t="s">
        <v>29</v>
      </c>
      <c r="O10" s="2" t="s">
        <v>29</v>
      </c>
      <c r="P10" s="5">
        <v>42</v>
      </c>
      <c r="Q10" s="5">
        <v>73</v>
      </c>
      <c r="R10" s="4">
        <v>45454</v>
      </c>
      <c r="S10" s="3"/>
    </row>
    <row r="11" spans="1:19" ht="19.95" customHeight="1" x14ac:dyDescent="0.3">
      <c r="A11" s="6" t="s">
        <v>63</v>
      </c>
      <c r="B11" s="7" t="s">
        <v>64</v>
      </c>
      <c r="C11" s="8">
        <v>45369</v>
      </c>
      <c r="D11" s="7" t="s">
        <v>22</v>
      </c>
      <c r="E11" s="6" t="s">
        <v>65</v>
      </c>
      <c r="F11" s="6" t="s">
        <v>24</v>
      </c>
      <c r="G11" s="6" t="s">
        <v>25</v>
      </c>
      <c r="H11" s="7" t="s">
        <v>66</v>
      </c>
      <c r="I11" s="7" t="s">
        <v>67</v>
      </c>
      <c r="J11" s="9">
        <v>5</v>
      </c>
      <c r="K11" s="9">
        <v>10</v>
      </c>
      <c r="L11" s="6" t="s">
        <v>28</v>
      </c>
      <c r="M11" s="6" t="s">
        <v>28</v>
      </c>
      <c r="N11" s="6" t="s">
        <v>28</v>
      </c>
      <c r="O11" s="6" t="s">
        <v>29</v>
      </c>
      <c r="P11" s="9">
        <v>36</v>
      </c>
      <c r="Q11" s="9">
        <v>69</v>
      </c>
      <c r="R11" s="8">
        <v>45461</v>
      </c>
      <c r="S11" s="7" t="s">
        <v>68</v>
      </c>
    </row>
    <row r="12" spans="1:19" ht="19.95" customHeight="1" x14ac:dyDescent="0.3">
      <c r="A12" s="2" t="s">
        <v>69</v>
      </c>
      <c r="B12" s="3" t="s">
        <v>70</v>
      </c>
      <c r="C12" s="4">
        <v>45384</v>
      </c>
      <c r="D12" s="3" t="s">
        <v>33</v>
      </c>
      <c r="E12" s="2" t="s">
        <v>71</v>
      </c>
      <c r="F12" s="2" t="s">
        <v>35</v>
      </c>
      <c r="G12" s="2" t="s">
        <v>41</v>
      </c>
      <c r="H12" s="3" t="s">
        <v>36</v>
      </c>
      <c r="I12" s="3" t="s">
        <v>37</v>
      </c>
      <c r="J12" s="5">
        <v>3.5</v>
      </c>
      <c r="K12" s="5">
        <v>11.5</v>
      </c>
      <c r="L12" s="2" t="s">
        <v>28</v>
      </c>
      <c r="M12" s="2" t="s">
        <v>29</v>
      </c>
      <c r="N12" s="2" t="s">
        <v>29</v>
      </c>
      <c r="O12" s="2" t="s">
        <v>29</v>
      </c>
      <c r="P12" s="5">
        <v>28</v>
      </c>
      <c r="Q12" s="5">
        <v>62</v>
      </c>
      <c r="R12" s="4">
        <v>45475</v>
      </c>
      <c r="S12" s="3" t="s">
        <v>72</v>
      </c>
    </row>
    <row r="13" spans="1:19" ht="19.95" customHeight="1" x14ac:dyDescent="0.3">
      <c r="A13" s="6" t="s">
        <v>73</v>
      </c>
      <c r="B13" s="7" t="s">
        <v>74</v>
      </c>
      <c r="C13" s="8">
        <v>45391</v>
      </c>
      <c r="D13" s="7" t="s">
        <v>46</v>
      </c>
      <c r="E13" s="6" t="s">
        <v>23</v>
      </c>
      <c r="F13" s="6" t="s">
        <v>24</v>
      </c>
      <c r="G13" s="6" t="s">
        <v>25</v>
      </c>
      <c r="H13" s="7" t="s">
        <v>26</v>
      </c>
      <c r="I13" s="7" t="s">
        <v>27</v>
      </c>
      <c r="J13" s="9">
        <v>4.8</v>
      </c>
      <c r="K13" s="9">
        <v>10</v>
      </c>
      <c r="L13" s="6" t="s">
        <v>28</v>
      </c>
      <c r="M13" s="6" t="s">
        <v>29</v>
      </c>
      <c r="N13" s="6" t="s">
        <v>28</v>
      </c>
      <c r="O13" s="6" t="s">
        <v>29</v>
      </c>
      <c r="P13" s="9">
        <v>40</v>
      </c>
      <c r="Q13" s="9">
        <v>74</v>
      </c>
      <c r="R13" s="8">
        <v>45482</v>
      </c>
      <c r="S13" s="7" t="s">
        <v>75</v>
      </c>
    </row>
    <row r="14" spans="1:19" ht="19.95" customHeight="1" x14ac:dyDescent="0.3">
      <c r="A14" s="2" t="s">
        <v>76</v>
      </c>
      <c r="B14" s="3" t="s">
        <v>77</v>
      </c>
      <c r="C14" s="4">
        <v>45398</v>
      </c>
      <c r="D14" s="3" t="s">
        <v>22</v>
      </c>
      <c r="E14" s="2" t="s">
        <v>34</v>
      </c>
      <c r="F14" s="2" t="s">
        <v>35</v>
      </c>
      <c r="G14" s="2" t="s">
        <v>25</v>
      </c>
      <c r="H14" s="3" t="s">
        <v>48</v>
      </c>
      <c r="I14" s="3" t="s">
        <v>49</v>
      </c>
      <c r="J14" s="5">
        <v>4.5</v>
      </c>
      <c r="K14" s="5">
        <v>13</v>
      </c>
      <c r="L14" s="2" t="s">
        <v>28</v>
      </c>
      <c r="M14" s="2" t="s">
        <v>29</v>
      </c>
      <c r="N14" s="2" t="s">
        <v>29</v>
      </c>
      <c r="O14" s="2" t="s">
        <v>29</v>
      </c>
      <c r="P14" s="5">
        <v>44</v>
      </c>
      <c r="Q14" s="5">
        <v>77</v>
      </c>
      <c r="R14" s="4">
        <v>45489</v>
      </c>
      <c r="S14" s="3"/>
    </row>
    <row r="15" spans="1:19" ht="19.95" customHeight="1" x14ac:dyDescent="0.3">
      <c r="A15" s="6" t="s">
        <v>78</v>
      </c>
      <c r="B15" s="7" t="s">
        <v>79</v>
      </c>
      <c r="C15" s="8">
        <v>45405</v>
      </c>
      <c r="D15" s="7" t="s">
        <v>33</v>
      </c>
      <c r="E15" s="6" t="s">
        <v>80</v>
      </c>
      <c r="F15" s="6" t="s">
        <v>24</v>
      </c>
      <c r="G15" s="6" t="s">
        <v>41</v>
      </c>
      <c r="H15" s="7" t="s">
        <v>57</v>
      </c>
      <c r="I15" s="7" t="s">
        <v>58</v>
      </c>
      <c r="J15" s="9">
        <v>3.7</v>
      </c>
      <c r="K15" s="9">
        <v>10</v>
      </c>
      <c r="L15" s="6" t="s">
        <v>28</v>
      </c>
      <c r="M15" s="6" t="s">
        <v>29</v>
      </c>
      <c r="N15" s="6" t="s">
        <v>29</v>
      </c>
      <c r="O15" s="6" t="s">
        <v>29</v>
      </c>
      <c r="P15" s="9">
        <v>30</v>
      </c>
      <c r="Q15" s="9">
        <v>67</v>
      </c>
      <c r="R15" s="8">
        <v>45496</v>
      </c>
      <c r="S15" s="7"/>
    </row>
    <row r="16" spans="1:19" ht="19.95" customHeight="1" x14ac:dyDescent="0.3">
      <c r="A16" s="2" t="s">
        <v>81</v>
      </c>
      <c r="B16" s="3" t="s">
        <v>82</v>
      </c>
      <c r="C16" s="4">
        <v>45419</v>
      </c>
      <c r="D16" s="3" t="s">
        <v>46</v>
      </c>
      <c r="E16" s="2" t="s">
        <v>47</v>
      </c>
      <c r="F16" s="2" t="s">
        <v>35</v>
      </c>
      <c r="G16" s="2" t="s">
        <v>25</v>
      </c>
      <c r="H16" s="3" t="s">
        <v>66</v>
      </c>
      <c r="I16" s="3" t="s">
        <v>67</v>
      </c>
      <c r="J16" s="5">
        <v>4.5</v>
      </c>
      <c r="K16" s="5">
        <v>11.5</v>
      </c>
      <c r="L16" s="2" t="s">
        <v>28</v>
      </c>
      <c r="M16" s="2" t="s">
        <v>29</v>
      </c>
      <c r="N16" s="2" t="s">
        <v>28</v>
      </c>
      <c r="O16" s="2" t="s">
        <v>28</v>
      </c>
      <c r="P16" s="5">
        <v>38</v>
      </c>
      <c r="Q16" s="5">
        <v>71</v>
      </c>
      <c r="R16" s="4">
        <v>45511</v>
      </c>
      <c r="S16" s="3" t="s">
        <v>83</v>
      </c>
    </row>
    <row r="17" spans="1:19" ht="19.95" customHeight="1" x14ac:dyDescent="0.3">
      <c r="A17" s="6" t="s">
        <v>84</v>
      </c>
      <c r="B17" s="7" t="s">
        <v>85</v>
      </c>
      <c r="C17" s="8">
        <v>45426</v>
      </c>
      <c r="D17" s="7" t="s">
        <v>22</v>
      </c>
      <c r="E17" s="6" t="s">
        <v>86</v>
      </c>
      <c r="F17" s="6" t="s">
        <v>24</v>
      </c>
      <c r="G17" s="6" t="s">
        <v>25</v>
      </c>
      <c r="H17" s="7" t="s">
        <v>26</v>
      </c>
      <c r="I17" s="7" t="s">
        <v>42</v>
      </c>
      <c r="J17" s="9">
        <v>4.0999999999999996</v>
      </c>
      <c r="K17" s="9">
        <v>12</v>
      </c>
      <c r="L17" s="6" t="s">
        <v>28</v>
      </c>
      <c r="M17" s="6" t="s">
        <v>29</v>
      </c>
      <c r="N17" s="6" t="s">
        <v>29</v>
      </c>
      <c r="O17" s="6" t="s">
        <v>29</v>
      </c>
      <c r="P17" s="9">
        <v>37</v>
      </c>
      <c r="Q17" s="9">
        <v>72</v>
      </c>
      <c r="R17" s="8">
        <v>45518</v>
      </c>
      <c r="S17" s="7"/>
    </row>
    <row r="18" spans="1:19" ht="19.95" customHeight="1" x14ac:dyDescent="0.3">
      <c r="A18" s="2" t="s">
        <v>87</v>
      </c>
      <c r="B18" s="3" t="s">
        <v>88</v>
      </c>
      <c r="C18" s="4">
        <v>45433</v>
      </c>
      <c r="D18" s="3" t="s">
        <v>33</v>
      </c>
      <c r="E18" s="2" t="s">
        <v>89</v>
      </c>
      <c r="F18" s="2" t="s">
        <v>24</v>
      </c>
      <c r="G18" s="2" t="s">
        <v>25</v>
      </c>
      <c r="H18" s="3" t="s">
        <v>36</v>
      </c>
      <c r="I18" s="3" t="s">
        <v>37</v>
      </c>
      <c r="J18" s="5">
        <v>4.3</v>
      </c>
      <c r="K18" s="5">
        <v>10</v>
      </c>
      <c r="L18" s="2" t="s">
        <v>28</v>
      </c>
      <c r="M18" s="2" t="s">
        <v>29</v>
      </c>
      <c r="N18" s="2" t="s">
        <v>28</v>
      </c>
      <c r="O18" s="2" t="s">
        <v>29</v>
      </c>
      <c r="P18" s="5">
        <v>33</v>
      </c>
      <c r="Q18" s="5">
        <v>68</v>
      </c>
      <c r="R18" s="4">
        <v>45525</v>
      </c>
      <c r="S18" s="3" t="s">
        <v>90</v>
      </c>
    </row>
  </sheetData>
  <mergeCells count="2">
    <mergeCell ref="A2:S2"/>
    <mergeCell ref="A1:S1"/>
  </mergeCells>
  <dataValidations count="6">
    <dataValidation type="list" allowBlank="1" sqref="F4:F1048576">
      <formula1>"Upper,Lower"</formula1>
    </dataValidation>
    <dataValidation type="list" allowBlank="1" sqref="G4:G1048576">
      <formula1>"Anterior,Posterior"</formula1>
    </dataValidation>
    <dataValidation type="list" allowBlank="1" sqref="H4:H1048576">
      <formula1>"Straumann,Nobel,Dentsply,Zimmer,BioHorizons,Osstem,Megagen,Other"</formula1>
    </dataValidation>
    <dataValidation type="list" allowBlank="1" sqref="L4:L1048576 M4:M1048576 N4:N1048576 O4:O1048576">
      <formula1>"Yes,No"</formula1>
    </dataValidation>
    <dataValidation type="list" allowBlank="1" sqref="J4:J1048576">
      <formula1>"3.3,3.5,3.7,3.8,4.1,4.3,4.5,4.7,4.8,5.0,5.5,6.0"</formula1>
    </dataValidation>
    <dataValidation type="list" allowBlank="1" sqref="K4:K1048576">
      <formula1>"6,7,8,8.5,10,11.5,12,13,14,16"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6AB"/>
  </sheetPr>
  <dimension ref="A1:F32"/>
  <sheetViews>
    <sheetView showGridLines="0" workbookViewId="0">
      <pane ySplit="3" topLeftCell="A10" activePane="bottomLeft" state="frozen"/>
      <selection pane="bottomLeft" sqref="A1:F1"/>
    </sheetView>
  </sheetViews>
  <sheetFormatPr defaultRowHeight="14.4" x14ac:dyDescent="0.3"/>
  <cols>
    <col min="1" max="1" width="16" customWidth="1"/>
    <col min="2" max="2" width="10" customWidth="1"/>
    <col min="3" max="3" width="14" customWidth="1"/>
    <col min="4" max="4" width="16" customWidth="1"/>
    <col min="5" max="5" width="14" customWidth="1"/>
    <col min="6" max="6" width="18" customWidth="1"/>
  </cols>
  <sheetData>
    <row r="1" spans="1:6" ht="31.95" customHeight="1" x14ac:dyDescent="0.3">
      <c r="A1" s="33" t="s">
        <v>91</v>
      </c>
      <c r="B1" s="29"/>
      <c r="C1" s="29"/>
      <c r="D1" s="29"/>
      <c r="E1" s="29"/>
      <c r="F1" s="29"/>
    </row>
    <row r="2" spans="1:6" x14ac:dyDescent="0.3">
      <c r="A2" s="31" t="s">
        <v>92</v>
      </c>
      <c r="B2" s="29"/>
      <c r="C2" s="29"/>
      <c r="D2" s="29"/>
      <c r="E2" s="29"/>
      <c r="F2" s="29"/>
    </row>
    <row r="3" spans="1:6" ht="36" customHeight="1" x14ac:dyDescent="0.3">
      <c r="A3" s="1" t="s">
        <v>6</v>
      </c>
      <c r="B3" s="1" t="s">
        <v>7</v>
      </c>
      <c r="C3" s="1" t="s">
        <v>8</v>
      </c>
      <c r="D3" s="1" t="s">
        <v>93</v>
      </c>
      <c r="E3" s="1" t="s">
        <v>94</v>
      </c>
      <c r="F3" s="1" t="s">
        <v>95</v>
      </c>
    </row>
    <row r="4" spans="1:6" x14ac:dyDescent="0.3">
      <c r="A4" s="10" t="s">
        <v>53</v>
      </c>
      <c r="B4" s="10" t="s">
        <v>24</v>
      </c>
      <c r="C4" s="10" t="s">
        <v>41</v>
      </c>
      <c r="D4" s="10">
        <f>COUNTIF('Patient Log'!E:E,A4)</f>
        <v>1</v>
      </c>
      <c r="E4" s="11">
        <f t="shared" ref="E4:E31" si="0">IFERROR(D4/SUM(D$4:D$31),0)</f>
        <v>6.6666666666666666E-2</v>
      </c>
      <c r="F4" s="12" t="str">
        <f ca="1">IFERROR(MAXIFS('Patient Log'!C:C,'Patient Log'!E:E,A4),"")</f>
        <v/>
      </c>
    </row>
    <row r="5" spans="1:6" x14ac:dyDescent="0.3">
      <c r="A5" s="13" t="s">
        <v>96</v>
      </c>
      <c r="B5" s="13" t="s">
        <v>24</v>
      </c>
      <c r="C5" s="13" t="s">
        <v>41</v>
      </c>
      <c r="D5" s="13">
        <f>COUNTIF('Patient Log'!E:E,A5)</f>
        <v>0</v>
      </c>
      <c r="E5" s="14">
        <f t="shared" si="0"/>
        <v>0</v>
      </c>
      <c r="F5" s="15" t="str">
        <f ca="1">IFERROR(MAXIFS('Patient Log'!C:C,'Patient Log'!E:E,A5),"")</f>
        <v/>
      </c>
    </row>
    <row r="6" spans="1:6" x14ac:dyDescent="0.3">
      <c r="A6" s="10" t="s">
        <v>97</v>
      </c>
      <c r="B6" s="10" t="s">
        <v>24</v>
      </c>
      <c r="C6" s="10" t="s">
        <v>41</v>
      </c>
      <c r="D6" s="10">
        <f>COUNTIF('Patient Log'!E:E,A6)</f>
        <v>0</v>
      </c>
      <c r="E6" s="11">
        <f t="shared" si="0"/>
        <v>0</v>
      </c>
      <c r="F6" s="12" t="str">
        <f ca="1">IFERROR(MAXIFS('Patient Log'!C:C,'Patient Log'!E:E,A6),"")</f>
        <v/>
      </c>
    </row>
    <row r="7" spans="1:6" x14ac:dyDescent="0.3">
      <c r="A7" s="13" t="s">
        <v>23</v>
      </c>
      <c r="B7" s="13" t="s">
        <v>24</v>
      </c>
      <c r="C7" s="13" t="s">
        <v>25</v>
      </c>
      <c r="D7" s="13">
        <f>COUNTIF('Patient Log'!E:E,A7)</f>
        <v>2</v>
      </c>
      <c r="E7" s="14">
        <f t="shared" si="0"/>
        <v>0.13333333333333333</v>
      </c>
      <c r="F7" s="15" t="str">
        <f ca="1">IFERROR(MAXIFS('Patient Log'!C:C,'Patient Log'!E:E,A7),"")</f>
        <v/>
      </c>
    </row>
    <row r="8" spans="1:6" x14ac:dyDescent="0.3">
      <c r="A8" s="10" t="s">
        <v>86</v>
      </c>
      <c r="B8" s="10" t="s">
        <v>24</v>
      </c>
      <c r="C8" s="10" t="s">
        <v>25</v>
      </c>
      <c r="D8" s="10">
        <f>COUNTIF('Patient Log'!E:E,A8)</f>
        <v>1</v>
      </c>
      <c r="E8" s="11">
        <f t="shared" si="0"/>
        <v>6.6666666666666666E-2</v>
      </c>
      <c r="F8" s="12" t="str">
        <f ca="1">IFERROR(MAXIFS('Patient Log'!C:C,'Patient Log'!E:E,A8),"")</f>
        <v/>
      </c>
    </row>
    <row r="9" spans="1:6" x14ac:dyDescent="0.3">
      <c r="A9" s="13" t="s">
        <v>65</v>
      </c>
      <c r="B9" s="13" t="s">
        <v>24</v>
      </c>
      <c r="C9" s="13" t="s">
        <v>25</v>
      </c>
      <c r="D9" s="13">
        <f>COUNTIF('Patient Log'!E:E,A9)</f>
        <v>1</v>
      </c>
      <c r="E9" s="14">
        <f t="shared" si="0"/>
        <v>6.6666666666666666E-2</v>
      </c>
      <c r="F9" s="15" t="str">
        <f ca="1">IFERROR(MAXIFS('Patient Log'!C:C,'Patient Log'!E:E,A9),"")</f>
        <v/>
      </c>
    </row>
    <row r="10" spans="1:6" x14ac:dyDescent="0.3">
      <c r="A10" s="10" t="s">
        <v>98</v>
      </c>
      <c r="B10" s="10" t="s">
        <v>24</v>
      </c>
      <c r="C10" s="10" t="s">
        <v>25</v>
      </c>
      <c r="D10" s="10">
        <f>COUNTIF('Patient Log'!E:E,A10)</f>
        <v>0</v>
      </c>
      <c r="E10" s="11">
        <f t="shared" si="0"/>
        <v>0</v>
      </c>
      <c r="F10" s="12" t="str">
        <f ca="1">IFERROR(MAXIFS('Patient Log'!C:C,'Patient Log'!E:E,A10),"")</f>
        <v/>
      </c>
    </row>
    <row r="11" spans="1:6" x14ac:dyDescent="0.3">
      <c r="A11" s="13" t="s">
        <v>40</v>
      </c>
      <c r="B11" s="13" t="s">
        <v>24</v>
      </c>
      <c r="C11" s="13" t="s">
        <v>41</v>
      </c>
      <c r="D11" s="13">
        <f>COUNTIF('Patient Log'!E:E,A11)</f>
        <v>1</v>
      </c>
      <c r="E11" s="14">
        <f t="shared" si="0"/>
        <v>6.6666666666666666E-2</v>
      </c>
      <c r="F11" s="15" t="str">
        <f ca="1">IFERROR(MAXIFS('Patient Log'!C:C,'Patient Log'!E:E,A11),"")</f>
        <v/>
      </c>
    </row>
    <row r="12" spans="1:6" x14ac:dyDescent="0.3">
      <c r="A12" s="10" t="s">
        <v>80</v>
      </c>
      <c r="B12" s="10" t="s">
        <v>24</v>
      </c>
      <c r="C12" s="10" t="s">
        <v>41</v>
      </c>
      <c r="D12" s="10">
        <f>COUNTIF('Patient Log'!E:E,A12)</f>
        <v>1</v>
      </c>
      <c r="E12" s="11">
        <f t="shared" si="0"/>
        <v>6.6666666666666666E-2</v>
      </c>
      <c r="F12" s="12" t="str">
        <f ca="1">IFERROR(MAXIFS('Patient Log'!C:C,'Patient Log'!E:E,A12),"")</f>
        <v/>
      </c>
    </row>
    <row r="13" spans="1:6" x14ac:dyDescent="0.3">
      <c r="A13" s="13" t="s">
        <v>99</v>
      </c>
      <c r="B13" s="13" t="s">
        <v>24</v>
      </c>
      <c r="C13" s="13" t="s">
        <v>41</v>
      </c>
      <c r="D13" s="13">
        <f>COUNTIF('Patient Log'!E:E,A13)</f>
        <v>0</v>
      </c>
      <c r="E13" s="14">
        <f t="shared" si="0"/>
        <v>0</v>
      </c>
      <c r="F13" s="15" t="str">
        <f ca="1">IFERROR(MAXIFS('Patient Log'!C:C,'Patient Log'!E:E,A13),"")</f>
        <v/>
      </c>
    </row>
    <row r="14" spans="1:6" x14ac:dyDescent="0.3">
      <c r="A14" s="10" t="s">
        <v>100</v>
      </c>
      <c r="B14" s="10" t="s">
        <v>24</v>
      </c>
      <c r="C14" s="10" t="s">
        <v>25</v>
      </c>
      <c r="D14" s="10">
        <f>COUNTIF('Patient Log'!E:E,A14)</f>
        <v>0</v>
      </c>
      <c r="E14" s="11">
        <f t="shared" si="0"/>
        <v>0</v>
      </c>
      <c r="F14" s="12" t="str">
        <f ca="1">IFERROR(MAXIFS('Patient Log'!C:C,'Patient Log'!E:E,A14),"")</f>
        <v/>
      </c>
    </row>
    <row r="15" spans="1:6" x14ac:dyDescent="0.3">
      <c r="A15" s="13" t="s">
        <v>89</v>
      </c>
      <c r="B15" s="13" t="s">
        <v>24</v>
      </c>
      <c r="C15" s="13" t="s">
        <v>25</v>
      </c>
      <c r="D15" s="13">
        <f>COUNTIF('Patient Log'!E:E,A15)</f>
        <v>1</v>
      </c>
      <c r="E15" s="14">
        <f t="shared" si="0"/>
        <v>6.6666666666666666E-2</v>
      </c>
      <c r="F15" s="15" t="str">
        <f ca="1">IFERROR(MAXIFS('Patient Log'!C:C,'Patient Log'!E:E,A15),"")</f>
        <v/>
      </c>
    </row>
    <row r="16" spans="1:6" x14ac:dyDescent="0.3">
      <c r="A16" s="10" t="s">
        <v>56</v>
      </c>
      <c r="B16" s="10" t="s">
        <v>24</v>
      </c>
      <c r="C16" s="10" t="s">
        <v>25</v>
      </c>
      <c r="D16" s="10">
        <f>COUNTIF('Patient Log'!E:E,A16)</f>
        <v>1</v>
      </c>
      <c r="E16" s="11">
        <f t="shared" si="0"/>
        <v>6.6666666666666666E-2</v>
      </c>
      <c r="F16" s="12" t="str">
        <f ca="1">IFERROR(MAXIFS('Patient Log'!C:C,'Patient Log'!E:E,A16),"")</f>
        <v/>
      </c>
    </row>
    <row r="17" spans="1:6" x14ac:dyDescent="0.3">
      <c r="A17" s="13" t="s">
        <v>101</v>
      </c>
      <c r="B17" s="13" t="s">
        <v>24</v>
      </c>
      <c r="C17" s="13" t="s">
        <v>25</v>
      </c>
      <c r="D17" s="13">
        <f>COUNTIF('Patient Log'!E:E,A17)</f>
        <v>0</v>
      </c>
      <c r="E17" s="14">
        <f t="shared" si="0"/>
        <v>0</v>
      </c>
      <c r="F17" s="15" t="str">
        <f ca="1">IFERROR(MAXIFS('Patient Log'!C:C,'Patient Log'!E:E,A17),"")</f>
        <v/>
      </c>
    </row>
    <row r="18" spans="1:6" x14ac:dyDescent="0.3">
      <c r="A18" s="10" t="s">
        <v>71</v>
      </c>
      <c r="B18" s="10" t="s">
        <v>35</v>
      </c>
      <c r="C18" s="10" t="s">
        <v>41</v>
      </c>
      <c r="D18" s="10">
        <f>COUNTIF('Patient Log'!E:E,A18)</f>
        <v>1</v>
      </c>
      <c r="E18" s="11">
        <f t="shared" si="0"/>
        <v>6.6666666666666666E-2</v>
      </c>
      <c r="F18" s="12" t="str">
        <f ca="1">IFERROR(MAXIFS('Patient Log'!C:C,'Patient Log'!E:E,A18),"")</f>
        <v/>
      </c>
    </row>
    <row r="19" spans="1:6" x14ac:dyDescent="0.3">
      <c r="A19" s="13" t="s">
        <v>102</v>
      </c>
      <c r="B19" s="13" t="s">
        <v>35</v>
      </c>
      <c r="C19" s="13" t="s">
        <v>41</v>
      </c>
      <c r="D19" s="13">
        <f>COUNTIF('Patient Log'!E:E,A19)</f>
        <v>0</v>
      </c>
      <c r="E19" s="14">
        <f t="shared" si="0"/>
        <v>0</v>
      </c>
      <c r="F19" s="15" t="str">
        <f ca="1">IFERROR(MAXIFS('Patient Log'!C:C,'Patient Log'!E:E,A19),"")</f>
        <v/>
      </c>
    </row>
    <row r="20" spans="1:6" x14ac:dyDescent="0.3">
      <c r="A20" s="10" t="s">
        <v>103</v>
      </c>
      <c r="B20" s="10" t="s">
        <v>35</v>
      </c>
      <c r="C20" s="10" t="s">
        <v>41</v>
      </c>
      <c r="D20" s="10">
        <f>COUNTIF('Patient Log'!E:E,A20)</f>
        <v>0</v>
      </c>
      <c r="E20" s="11">
        <f t="shared" si="0"/>
        <v>0</v>
      </c>
      <c r="F20" s="12" t="str">
        <f ca="1">IFERROR(MAXIFS('Patient Log'!C:C,'Patient Log'!E:E,A20),"")</f>
        <v/>
      </c>
    </row>
    <row r="21" spans="1:6" x14ac:dyDescent="0.3">
      <c r="A21" s="13" t="s">
        <v>104</v>
      </c>
      <c r="B21" s="13" t="s">
        <v>35</v>
      </c>
      <c r="C21" s="13" t="s">
        <v>25</v>
      </c>
      <c r="D21" s="13">
        <f>COUNTIF('Patient Log'!E:E,A21)</f>
        <v>0</v>
      </c>
      <c r="E21" s="14">
        <f t="shared" si="0"/>
        <v>0</v>
      </c>
      <c r="F21" s="15" t="str">
        <f ca="1">IFERROR(MAXIFS('Patient Log'!C:C,'Patient Log'!E:E,A21),"")</f>
        <v/>
      </c>
    </row>
    <row r="22" spans="1:6" x14ac:dyDescent="0.3">
      <c r="A22" s="10" t="s">
        <v>105</v>
      </c>
      <c r="B22" s="10" t="s">
        <v>35</v>
      </c>
      <c r="C22" s="10" t="s">
        <v>25</v>
      </c>
      <c r="D22" s="10">
        <f>COUNTIF('Patient Log'!E:E,A22)</f>
        <v>0</v>
      </c>
      <c r="E22" s="11">
        <f t="shared" si="0"/>
        <v>0</v>
      </c>
      <c r="F22" s="12" t="str">
        <f ca="1">IFERROR(MAXIFS('Patient Log'!C:C,'Patient Log'!E:E,A22),"")</f>
        <v/>
      </c>
    </row>
    <row r="23" spans="1:6" x14ac:dyDescent="0.3">
      <c r="A23" s="13" t="s">
        <v>34</v>
      </c>
      <c r="B23" s="13" t="s">
        <v>35</v>
      </c>
      <c r="C23" s="13" t="s">
        <v>25</v>
      </c>
      <c r="D23" s="13">
        <f>COUNTIF('Patient Log'!E:E,A23)</f>
        <v>2</v>
      </c>
      <c r="E23" s="14">
        <f t="shared" si="0"/>
        <v>0.13333333333333333</v>
      </c>
      <c r="F23" s="15" t="str">
        <f ca="1">IFERROR(MAXIFS('Patient Log'!C:C,'Patient Log'!E:E,A23),"")</f>
        <v/>
      </c>
    </row>
    <row r="24" spans="1:6" x14ac:dyDescent="0.3">
      <c r="A24" s="10" t="s">
        <v>106</v>
      </c>
      <c r="B24" s="10" t="s">
        <v>35</v>
      </c>
      <c r="C24" s="10" t="s">
        <v>25</v>
      </c>
      <c r="D24" s="10">
        <f>COUNTIF('Patient Log'!E:E,A24)</f>
        <v>0</v>
      </c>
      <c r="E24" s="11">
        <f t="shared" si="0"/>
        <v>0</v>
      </c>
      <c r="F24" s="12" t="str">
        <f ca="1">IFERROR(MAXIFS('Patient Log'!C:C,'Patient Log'!E:E,A24),"")</f>
        <v/>
      </c>
    </row>
    <row r="25" spans="1:6" x14ac:dyDescent="0.3">
      <c r="A25" s="13" t="s">
        <v>107</v>
      </c>
      <c r="B25" s="13" t="s">
        <v>35</v>
      </c>
      <c r="C25" s="13" t="s">
        <v>41</v>
      </c>
      <c r="D25" s="13">
        <f>COUNTIF('Patient Log'!E:E,A25)</f>
        <v>0</v>
      </c>
      <c r="E25" s="14">
        <f t="shared" si="0"/>
        <v>0</v>
      </c>
      <c r="F25" s="15" t="str">
        <f ca="1">IFERROR(MAXIFS('Patient Log'!C:C,'Patient Log'!E:E,A25),"")</f>
        <v/>
      </c>
    </row>
    <row r="26" spans="1:6" x14ac:dyDescent="0.3">
      <c r="A26" s="10" t="s">
        <v>108</v>
      </c>
      <c r="B26" s="10" t="s">
        <v>35</v>
      </c>
      <c r="C26" s="10" t="s">
        <v>41</v>
      </c>
      <c r="D26" s="10">
        <f>COUNTIF('Patient Log'!E:E,A26)</f>
        <v>0</v>
      </c>
      <c r="E26" s="11">
        <f t="shared" si="0"/>
        <v>0</v>
      </c>
      <c r="F26" s="12" t="str">
        <f ca="1">IFERROR(MAXIFS('Patient Log'!C:C,'Patient Log'!E:E,A26),"")</f>
        <v/>
      </c>
    </row>
    <row r="27" spans="1:6" x14ac:dyDescent="0.3">
      <c r="A27" s="13" t="s">
        <v>109</v>
      </c>
      <c r="B27" s="13" t="s">
        <v>35</v>
      </c>
      <c r="C27" s="13" t="s">
        <v>41</v>
      </c>
      <c r="D27" s="13">
        <f>COUNTIF('Patient Log'!E:E,A27)</f>
        <v>0</v>
      </c>
      <c r="E27" s="14">
        <f t="shared" si="0"/>
        <v>0</v>
      </c>
      <c r="F27" s="15" t="str">
        <f ca="1">IFERROR(MAXIFS('Patient Log'!C:C,'Patient Log'!E:E,A27),"")</f>
        <v/>
      </c>
    </row>
    <row r="28" spans="1:6" x14ac:dyDescent="0.3">
      <c r="A28" s="10" t="s">
        <v>110</v>
      </c>
      <c r="B28" s="10" t="s">
        <v>35</v>
      </c>
      <c r="C28" s="10" t="s">
        <v>25</v>
      </c>
      <c r="D28" s="10">
        <f>COUNTIF('Patient Log'!E:E,A28)</f>
        <v>0</v>
      </c>
      <c r="E28" s="11">
        <f t="shared" si="0"/>
        <v>0</v>
      </c>
      <c r="F28" s="12" t="str">
        <f ca="1">IFERROR(MAXIFS('Patient Log'!C:C,'Patient Log'!E:E,A28),"")</f>
        <v/>
      </c>
    </row>
    <row r="29" spans="1:6" x14ac:dyDescent="0.3">
      <c r="A29" s="13" t="s">
        <v>62</v>
      </c>
      <c r="B29" s="13" t="s">
        <v>35</v>
      </c>
      <c r="C29" s="13" t="s">
        <v>25</v>
      </c>
      <c r="D29" s="13">
        <f>COUNTIF('Patient Log'!E:E,A29)</f>
        <v>1</v>
      </c>
      <c r="E29" s="14">
        <f t="shared" si="0"/>
        <v>6.6666666666666666E-2</v>
      </c>
      <c r="F29" s="15" t="str">
        <f ca="1">IFERROR(MAXIFS('Patient Log'!C:C,'Patient Log'!E:E,A29),"")</f>
        <v/>
      </c>
    </row>
    <row r="30" spans="1:6" x14ac:dyDescent="0.3">
      <c r="A30" s="10" t="s">
        <v>47</v>
      </c>
      <c r="B30" s="10" t="s">
        <v>35</v>
      </c>
      <c r="C30" s="10" t="s">
        <v>25</v>
      </c>
      <c r="D30" s="10">
        <f>COUNTIF('Patient Log'!E:E,A30)</f>
        <v>2</v>
      </c>
      <c r="E30" s="11">
        <f t="shared" si="0"/>
        <v>0.13333333333333333</v>
      </c>
      <c r="F30" s="12" t="str">
        <f ca="1">IFERROR(MAXIFS('Patient Log'!C:C,'Patient Log'!E:E,A30),"")</f>
        <v/>
      </c>
    </row>
    <row r="31" spans="1:6" x14ac:dyDescent="0.3">
      <c r="A31" s="13" t="s">
        <v>111</v>
      </c>
      <c r="B31" s="13" t="s">
        <v>35</v>
      </c>
      <c r="C31" s="13" t="s">
        <v>25</v>
      </c>
      <c r="D31" s="13">
        <f>COUNTIF('Patient Log'!E:E,A31)</f>
        <v>0</v>
      </c>
      <c r="E31" s="14">
        <f t="shared" si="0"/>
        <v>0</v>
      </c>
      <c r="F31" s="15" t="str">
        <f ca="1">IFERROR(MAXIFS('Patient Log'!C:C,'Patient Log'!E:E,A31),"")</f>
        <v/>
      </c>
    </row>
    <row r="32" spans="1:6" x14ac:dyDescent="0.3">
      <c r="A32" s="32" t="s">
        <v>112</v>
      </c>
      <c r="B32" s="32"/>
      <c r="C32" s="32"/>
      <c r="D32" s="16">
        <f>SUM(D4:D31)</f>
        <v>15</v>
      </c>
      <c r="E32" s="17">
        <f>SUM(E4:E31)</f>
        <v>0.99999999999999989</v>
      </c>
      <c r="F32" s="16"/>
    </row>
  </sheetData>
  <mergeCells count="3">
    <mergeCell ref="A2:F2"/>
    <mergeCell ref="A32:C32"/>
    <mergeCell ref="A1:F1"/>
  </mergeCells>
  <conditionalFormatting sqref="D4:D31">
    <cfRule type="dataBar" priority="1">
      <dataBar>
        <cfvo type="min"/>
        <cfvo type="max"/>
        <color rgb="FF2E86AB"/>
      </dataBar>
    </cfRule>
  </conditionalFormatting>
  <conditionalFormatting sqref="E4:E31">
    <cfRule type="colorScale" priority="2">
      <colorScale>
        <cfvo type="min"/>
        <cfvo type="percentile" val="50"/>
        <cfvo type="max"/>
        <color rgb="FFFFFFFF"/>
        <color rgb="FFA8D8EA"/>
        <color rgb="FF2E86AB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6AB"/>
  </sheetPr>
  <dimension ref="A1:M47"/>
  <sheetViews>
    <sheetView showGridLines="0" workbookViewId="0">
      <pane xSplit="1" ySplit="4" topLeftCell="B17" activePane="bottomRight" state="frozen"/>
      <selection pane="topRight"/>
      <selection pane="bottomLeft"/>
      <selection pane="bottomRight" sqref="A1:E1"/>
    </sheetView>
  </sheetViews>
  <sheetFormatPr defaultRowHeight="14.4" x14ac:dyDescent="0.3"/>
  <cols>
    <col min="1" max="1" width="14" customWidth="1"/>
    <col min="2" max="11" width="10" customWidth="1"/>
  </cols>
  <sheetData>
    <row r="1" spans="1:5" ht="31.95" customHeight="1" x14ac:dyDescent="0.3">
      <c r="A1" s="33" t="s">
        <v>113</v>
      </c>
      <c r="B1" s="29"/>
      <c r="C1" s="29"/>
      <c r="D1" s="29"/>
      <c r="E1" s="29"/>
    </row>
    <row r="2" spans="1:5" x14ac:dyDescent="0.3">
      <c r="A2" s="31" t="s">
        <v>114</v>
      </c>
      <c r="B2" s="29"/>
      <c r="C2" s="29"/>
      <c r="D2" s="29"/>
      <c r="E2" s="29"/>
    </row>
    <row r="3" spans="1:5" x14ac:dyDescent="0.3">
      <c r="A3" s="34" t="s">
        <v>115</v>
      </c>
      <c r="B3" s="29"/>
    </row>
    <row r="4" spans="1:5" x14ac:dyDescent="0.3">
      <c r="A4" s="18" t="s">
        <v>116</v>
      </c>
      <c r="B4" s="18" t="s">
        <v>117</v>
      </c>
      <c r="C4" s="18" t="s">
        <v>118</v>
      </c>
    </row>
    <row r="5" spans="1:5" x14ac:dyDescent="0.3">
      <c r="A5" s="19">
        <v>3.3</v>
      </c>
      <c r="B5" s="13">
        <f>COUNTIF('Patient Log'!J:J,A5)</f>
        <v>1</v>
      </c>
      <c r="C5" s="14">
        <f t="shared" ref="C5:C16" si="0">IFERROR(B5/SUM(B$5:B$16),0)</f>
        <v>6.6666666666666666E-2</v>
      </c>
    </row>
    <row r="6" spans="1:5" x14ac:dyDescent="0.3">
      <c r="A6" s="20">
        <v>3.5</v>
      </c>
      <c r="B6" s="10">
        <f>COUNTIF('Patient Log'!J:J,A6)</f>
        <v>2</v>
      </c>
      <c r="C6" s="11">
        <f t="shared" si="0"/>
        <v>0.13333333333333333</v>
      </c>
    </row>
    <row r="7" spans="1:5" x14ac:dyDescent="0.3">
      <c r="A7" s="19">
        <v>3.7</v>
      </c>
      <c r="B7" s="13">
        <f>COUNTIF('Patient Log'!J:J,A7)</f>
        <v>1</v>
      </c>
      <c r="C7" s="14">
        <f t="shared" si="0"/>
        <v>6.6666666666666666E-2</v>
      </c>
    </row>
    <row r="8" spans="1:5" x14ac:dyDescent="0.3">
      <c r="A8" s="20">
        <v>3.8</v>
      </c>
      <c r="B8" s="10">
        <f>COUNTIF('Patient Log'!J:J,A8)</f>
        <v>1</v>
      </c>
      <c r="C8" s="11">
        <f t="shared" si="0"/>
        <v>6.6666666666666666E-2</v>
      </c>
    </row>
    <row r="9" spans="1:5" x14ac:dyDescent="0.3">
      <c r="A9" s="19">
        <v>4.0999999999999996</v>
      </c>
      <c r="B9" s="13">
        <f>COUNTIF('Patient Log'!J:J,A9)</f>
        <v>3</v>
      </c>
      <c r="C9" s="14">
        <f t="shared" si="0"/>
        <v>0.2</v>
      </c>
    </row>
    <row r="10" spans="1:5" x14ac:dyDescent="0.3">
      <c r="A10" s="20">
        <v>4.3</v>
      </c>
      <c r="B10" s="10">
        <f>COUNTIF('Patient Log'!J:J,A10)</f>
        <v>2</v>
      </c>
      <c r="C10" s="11">
        <f t="shared" si="0"/>
        <v>0.13333333333333333</v>
      </c>
    </row>
    <row r="11" spans="1:5" x14ac:dyDescent="0.3">
      <c r="A11" s="19">
        <v>4.5</v>
      </c>
      <c r="B11" s="13">
        <f>COUNTIF('Patient Log'!J:J,A11)</f>
        <v>2</v>
      </c>
      <c r="C11" s="14">
        <f t="shared" si="0"/>
        <v>0.13333333333333333</v>
      </c>
    </row>
    <row r="12" spans="1:5" x14ac:dyDescent="0.3">
      <c r="A12" s="20">
        <v>4.7</v>
      </c>
      <c r="B12" s="10">
        <f>COUNTIF('Patient Log'!J:J,A12)</f>
        <v>1</v>
      </c>
      <c r="C12" s="11">
        <f t="shared" si="0"/>
        <v>6.6666666666666666E-2</v>
      </c>
    </row>
    <row r="13" spans="1:5" x14ac:dyDescent="0.3">
      <c r="A13" s="19">
        <v>4.8</v>
      </c>
      <c r="B13" s="13">
        <f>COUNTIF('Patient Log'!J:J,A13)</f>
        <v>1</v>
      </c>
      <c r="C13" s="14">
        <f t="shared" si="0"/>
        <v>6.6666666666666666E-2</v>
      </c>
    </row>
    <row r="14" spans="1:5" x14ac:dyDescent="0.3">
      <c r="A14" s="20">
        <v>5</v>
      </c>
      <c r="B14" s="10">
        <f>COUNTIF('Patient Log'!J:J,A14)</f>
        <v>1</v>
      </c>
      <c r="C14" s="11">
        <f t="shared" si="0"/>
        <v>6.6666666666666666E-2</v>
      </c>
    </row>
    <row r="15" spans="1:5" x14ac:dyDescent="0.3">
      <c r="A15" s="19">
        <v>5.5</v>
      </c>
      <c r="B15" s="13">
        <f>COUNTIF('Patient Log'!J:J,A15)</f>
        <v>0</v>
      </c>
      <c r="C15" s="14">
        <f t="shared" si="0"/>
        <v>0</v>
      </c>
    </row>
    <row r="16" spans="1:5" x14ac:dyDescent="0.3">
      <c r="A16" s="20">
        <v>6</v>
      </c>
      <c r="B16" s="10">
        <f>COUNTIF('Patient Log'!J:J,A16)</f>
        <v>0</v>
      </c>
      <c r="C16" s="11">
        <f t="shared" si="0"/>
        <v>0</v>
      </c>
    </row>
    <row r="17" spans="1:3" x14ac:dyDescent="0.3">
      <c r="A17" s="16" t="s">
        <v>112</v>
      </c>
      <c r="B17" s="16">
        <f>SUM(B5:B16)</f>
        <v>15</v>
      </c>
      <c r="C17" s="17">
        <f>SUM(C5:C16)</f>
        <v>0.99999999999999989</v>
      </c>
    </row>
    <row r="19" spans="1:3" x14ac:dyDescent="0.3">
      <c r="A19" s="34" t="s">
        <v>119</v>
      </c>
      <c r="B19" s="29"/>
    </row>
    <row r="20" spans="1:3" x14ac:dyDescent="0.3">
      <c r="A20" s="18" t="s">
        <v>120</v>
      </c>
      <c r="B20" s="18" t="s">
        <v>117</v>
      </c>
      <c r="C20" s="18" t="s">
        <v>118</v>
      </c>
    </row>
    <row r="21" spans="1:3" x14ac:dyDescent="0.3">
      <c r="A21" s="19">
        <v>6</v>
      </c>
      <c r="B21" s="13">
        <f>COUNTIF('Patient Log'!K:K,A21)</f>
        <v>0</v>
      </c>
      <c r="C21" s="14">
        <f>IFERROR(B21/SUM(B21:B30),0)</f>
        <v>0</v>
      </c>
    </row>
    <row r="22" spans="1:3" x14ac:dyDescent="0.3">
      <c r="A22" s="20">
        <v>7</v>
      </c>
      <c r="B22" s="10">
        <f>COUNTIF('Patient Log'!K:K,A22)</f>
        <v>0</v>
      </c>
      <c r="C22" s="11">
        <f>IFERROR(B22/SUM(B21:B30),0)</f>
        <v>0</v>
      </c>
    </row>
    <row r="23" spans="1:3" x14ac:dyDescent="0.3">
      <c r="A23" s="19">
        <v>8</v>
      </c>
      <c r="B23" s="13">
        <f>COUNTIF('Patient Log'!K:K,A23)</f>
        <v>0</v>
      </c>
      <c r="C23" s="14">
        <f>IFERROR(B23/SUM(B21:B30),0)</f>
        <v>0</v>
      </c>
    </row>
    <row r="24" spans="1:3" x14ac:dyDescent="0.3">
      <c r="A24" s="20">
        <v>8.5</v>
      </c>
      <c r="B24" s="10">
        <f>COUNTIF('Patient Log'!K:K,A24)</f>
        <v>0</v>
      </c>
      <c r="C24" s="11">
        <f>IFERROR(B24/SUM(B21:B30),0)</f>
        <v>0</v>
      </c>
    </row>
    <row r="25" spans="1:3" x14ac:dyDescent="0.3">
      <c r="A25" s="19">
        <v>10</v>
      </c>
      <c r="B25" s="13">
        <f>COUNTIF('Patient Log'!K:K,A25)</f>
        <v>6</v>
      </c>
      <c r="C25" s="14">
        <f>IFERROR(B25/SUM(B21:B30),0)</f>
        <v>0.4</v>
      </c>
    </row>
    <row r="26" spans="1:3" x14ac:dyDescent="0.3">
      <c r="A26" s="20">
        <v>11.5</v>
      </c>
      <c r="B26" s="10">
        <f>COUNTIF('Patient Log'!K:K,A26)</f>
        <v>4</v>
      </c>
      <c r="C26" s="11">
        <f>IFERROR(B26/SUM(B21:B30),0)</f>
        <v>0.26666666666666666</v>
      </c>
    </row>
    <row r="27" spans="1:3" x14ac:dyDescent="0.3">
      <c r="A27" s="19">
        <v>12</v>
      </c>
      <c r="B27" s="13">
        <f>COUNTIF('Patient Log'!K:K,A27)</f>
        <v>3</v>
      </c>
      <c r="C27" s="14">
        <f>IFERROR(B27/SUM(B21:B30),0)</f>
        <v>0.2</v>
      </c>
    </row>
    <row r="28" spans="1:3" x14ac:dyDescent="0.3">
      <c r="A28" s="20">
        <v>13</v>
      </c>
      <c r="B28" s="10">
        <f>COUNTIF('Patient Log'!K:K,A28)</f>
        <v>2</v>
      </c>
      <c r="C28" s="11">
        <f>IFERROR(B28/SUM(B21:B30),0)</f>
        <v>0.13333333333333333</v>
      </c>
    </row>
    <row r="29" spans="1:3" x14ac:dyDescent="0.3">
      <c r="A29" s="19">
        <v>14</v>
      </c>
      <c r="B29" s="13">
        <f>COUNTIF('Patient Log'!K:K,A29)</f>
        <v>0</v>
      </c>
      <c r="C29" s="14">
        <f>IFERROR(B29/SUM(B21:B30),0)</f>
        <v>0</v>
      </c>
    </row>
    <row r="30" spans="1:3" x14ac:dyDescent="0.3">
      <c r="A30" s="20">
        <v>16</v>
      </c>
      <c r="B30" s="10">
        <f>COUNTIF('Patient Log'!K:K,A30)</f>
        <v>0</v>
      </c>
      <c r="C30" s="11">
        <f>IFERROR(B30/SUM(B21:B30),0)</f>
        <v>0</v>
      </c>
    </row>
    <row r="31" spans="1:3" x14ac:dyDescent="0.3">
      <c r="A31" s="16" t="s">
        <v>112</v>
      </c>
      <c r="B31" s="16">
        <f>SUM(B21:B30)</f>
        <v>15</v>
      </c>
      <c r="C31" s="16" t="s">
        <v>121</v>
      </c>
    </row>
    <row r="34" spans="1:13" x14ac:dyDescent="0.3">
      <c r="A34" s="34" t="s">
        <v>122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1:13" x14ac:dyDescent="0.3">
      <c r="A35" s="18" t="s">
        <v>123</v>
      </c>
      <c r="B35" s="21">
        <v>6</v>
      </c>
      <c r="C35" s="21">
        <v>7</v>
      </c>
      <c r="D35" s="21">
        <v>8</v>
      </c>
      <c r="E35" s="21">
        <v>8.5</v>
      </c>
      <c r="F35" s="21">
        <v>10</v>
      </c>
      <c r="G35" s="21">
        <v>11.5</v>
      </c>
      <c r="H35" s="21">
        <v>12</v>
      </c>
      <c r="I35" s="21">
        <v>13</v>
      </c>
      <c r="J35" s="21">
        <v>14</v>
      </c>
      <c r="K35" s="21">
        <v>16</v>
      </c>
    </row>
    <row r="36" spans="1:13" x14ac:dyDescent="0.3">
      <c r="A36" s="22">
        <v>3.3</v>
      </c>
      <c r="B36" s="2">
        <f>COUNTIFS('Patient Log'!J:J,3.3,'Patient Log'!K:K,6)</f>
        <v>0</v>
      </c>
      <c r="C36" s="2">
        <f>COUNTIFS('Patient Log'!J:J,3.3,'Patient Log'!K:K,7)</f>
        <v>0</v>
      </c>
      <c r="D36" s="2">
        <f>COUNTIFS('Patient Log'!J:J,3.3,'Patient Log'!K:K,8)</f>
        <v>0</v>
      </c>
      <c r="E36" s="2">
        <f>COUNTIFS('Patient Log'!J:J,3.3,'Patient Log'!K:K,8.5)</f>
        <v>0</v>
      </c>
      <c r="F36" s="2">
        <f>COUNTIFS('Patient Log'!J:J,3.3,'Patient Log'!K:K,10)</f>
        <v>0</v>
      </c>
      <c r="G36" s="2">
        <f>COUNTIFS('Patient Log'!J:J,3.3,'Patient Log'!K:K,11.5)</f>
        <v>0</v>
      </c>
      <c r="H36" s="2">
        <f>COUNTIFS('Patient Log'!J:J,3.3,'Patient Log'!K:K,12)</f>
        <v>1</v>
      </c>
      <c r="I36" s="2">
        <f>COUNTIFS('Patient Log'!J:J,3.3,'Patient Log'!K:K,13)</f>
        <v>0</v>
      </c>
      <c r="J36" s="2">
        <f>COUNTIFS('Patient Log'!J:J,3.3,'Patient Log'!K:K,14)</f>
        <v>0</v>
      </c>
      <c r="K36" s="2">
        <f>COUNTIFS('Patient Log'!J:J,3.3,'Patient Log'!K:K,16)</f>
        <v>0</v>
      </c>
    </row>
    <row r="37" spans="1:13" x14ac:dyDescent="0.3">
      <c r="A37" s="22">
        <v>3.5</v>
      </c>
      <c r="B37" s="6">
        <f>COUNTIFS('Patient Log'!J:J,3.5,'Patient Log'!K:K,6)</f>
        <v>0</v>
      </c>
      <c r="C37" s="6">
        <f>COUNTIFS('Patient Log'!J:J,3.5,'Patient Log'!K:K,7)</f>
        <v>0</v>
      </c>
      <c r="D37" s="6">
        <f>COUNTIFS('Patient Log'!J:J,3.5,'Patient Log'!K:K,8)</f>
        <v>0</v>
      </c>
      <c r="E37" s="6">
        <f>COUNTIFS('Patient Log'!J:J,3.5,'Patient Log'!K:K,8.5)</f>
        <v>0</v>
      </c>
      <c r="F37" s="6">
        <f>COUNTIFS('Patient Log'!J:J,3.5,'Patient Log'!K:K,10)</f>
        <v>1</v>
      </c>
      <c r="G37" s="6">
        <f>COUNTIFS('Patient Log'!J:J,3.5,'Patient Log'!K:K,11.5)</f>
        <v>1</v>
      </c>
      <c r="H37" s="6">
        <f>COUNTIFS('Patient Log'!J:J,3.5,'Patient Log'!K:K,12)</f>
        <v>0</v>
      </c>
      <c r="I37" s="6">
        <f>COUNTIFS('Patient Log'!J:J,3.5,'Patient Log'!K:K,13)</f>
        <v>0</v>
      </c>
      <c r="J37" s="6">
        <f>COUNTIFS('Patient Log'!J:J,3.5,'Patient Log'!K:K,14)</f>
        <v>0</v>
      </c>
      <c r="K37" s="6">
        <f>COUNTIFS('Patient Log'!J:J,3.5,'Patient Log'!K:K,16)</f>
        <v>0</v>
      </c>
    </row>
    <row r="38" spans="1:13" x14ac:dyDescent="0.3">
      <c r="A38" s="22">
        <v>3.7</v>
      </c>
      <c r="B38" s="2">
        <f>COUNTIFS('Patient Log'!J:J,3.7,'Patient Log'!K:K,6)</f>
        <v>0</v>
      </c>
      <c r="C38" s="2">
        <f>COUNTIFS('Patient Log'!J:J,3.7,'Patient Log'!K:K,7)</f>
        <v>0</v>
      </c>
      <c r="D38" s="2">
        <f>COUNTIFS('Patient Log'!J:J,3.7,'Patient Log'!K:K,8)</f>
        <v>0</v>
      </c>
      <c r="E38" s="2">
        <f>COUNTIFS('Patient Log'!J:J,3.7,'Patient Log'!K:K,8.5)</f>
        <v>0</v>
      </c>
      <c r="F38" s="2">
        <f>COUNTIFS('Patient Log'!J:J,3.7,'Patient Log'!K:K,10)</f>
        <v>1</v>
      </c>
      <c r="G38" s="2">
        <f>COUNTIFS('Patient Log'!J:J,3.7,'Patient Log'!K:K,11.5)</f>
        <v>0</v>
      </c>
      <c r="H38" s="2">
        <f>COUNTIFS('Patient Log'!J:J,3.7,'Patient Log'!K:K,12)</f>
        <v>0</v>
      </c>
      <c r="I38" s="2">
        <f>COUNTIFS('Patient Log'!J:J,3.7,'Patient Log'!K:K,13)</f>
        <v>0</v>
      </c>
      <c r="J38" s="2">
        <f>COUNTIFS('Patient Log'!J:J,3.7,'Patient Log'!K:K,14)</f>
        <v>0</v>
      </c>
      <c r="K38" s="2">
        <f>COUNTIFS('Patient Log'!J:J,3.7,'Patient Log'!K:K,16)</f>
        <v>0</v>
      </c>
    </row>
    <row r="39" spans="1:13" x14ac:dyDescent="0.3">
      <c r="A39" s="22">
        <v>3.8</v>
      </c>
      <c r="B39" s="6">
        <f>COUNTIFS('Patient Log'!J:J,3.8,'Patient Log'!K:K,6)</f>
        <v>0</v>
      </c>
      <c r="C39" s="6">
        <f>COUNTIFS('Patient Log'!J:J,3.8,'Patient Log'!K:K,7)</f>
        <v>0</v>
      </c>
      <c r="D39" s="6">
        <f>COUNTIFS('Patient Log'!J:J,3.8,'Patient Log'!K:K,8)</f>
        <v>0</v>
      </c>
      <c r="E39" s="6">
        <f>COUNTIFS('Patient Log'!J:J,3.8,'Patient Log'!K:K,8.5)</f>
        <v>0</v>
      </c>
      <c r="F39" s="6">
        <f>COUNTIFS('Patient Log'!J:J,3.8,'Patient Log'!K:K,10)</f>
        <v>0</v>
      </c>
      <c r="G39" s="6">
        <f>COUNTIFS('Patient Log'!J:J,3.8,'Patient Log'!K:K,11.5)</f>
        <v>0</v>
      </c>
      <c r="H39" s="6">
        <f>COUNTIFS('Patient Log'!J:J,3.8,'Patient Log'!K:K,12)</f>
        <v>0</v>
      </c>
      <c r="I39" s="6">
        <f>COUNTIFS('Patient Log'!J:J,3.8,'Patient Log'!K:K,13)</f>
        <v>1</v>
      </c>
      <c r="J39" s="6">
        <f>COUNTIFS('Patient Log'!J:J,3.8,'Patient Log'!K:K,14)</f>
        <v>0</v>
      </c>
      <c r="K39" s="6">
        <f>COUNTIFS('Patient Log'!J:J,3.8,'Patient Log'!K:K,16)</f>
        <v>0</v>
      </c>
    </row>
    <row r="40" spans="1:13" x14ac:dyDescent="0.3">
      <c r="A40" s="22">
        <v>4.0999999999999996</v>
      </c>
      <c r="B40" s="2">
        <f>COUNTIFS('Patient Log'!J:J,4.1,'Patient Log'!K:K,6)</f>
        <v>0</v>
      </c>
      <c r="C40" s="2">
        <f>COUNTIFS('Patient Log'!J:J,4.1,'Patient Log'!K:K,7)</f>
        <v>0</v>
      </c>
      <c r="D40" s="2">
        <f>COUNTIFS('Patient Log'!J:J,4.1,'Patient Log'!K:K,8)</f>
        <v>0</v>
      </c>
      <c r="E40" s="2">
        <f>COUNTIFS('Patient Log'!J:J,4.1,'Patient Log'!K:K,8.5)</f>
        <v>0</v>
      </c>
      <c r="F40" s="2">
        <f>COUNTIFS('Patient Log'!J:J,4.1,'Patient Log'!K:K,10)</f>
        <v>1</v>
      </c>
      <c r="G40" s="2">
        <f>COUNTIFS('Patient Log'!J:J,4.1,'Patient Log'!K:K,11.5)</f>
        <v>0</v>
      </c>
      <c r="H40" s="2">
        <f>COUNTIFS('Patient Log'!J:J,4.1,'Patient Log'!K:K,12)</f>
        <v>2</v>
      </c>
      <c r="I40" s="2">
        <f>COUNTIFS('Patient Log'!J:J,4.1,'Patient Log'!K:K,13)</f>
        <v>0</v>
      </c>
      <c r="J40" s="2">
        <f>COUNTIFS('Patient Log'!J:J,4.1,'Patient Log'!K:K,14)</f>
        <v>0</v>
      </c>
      <c r="K40" s="2">
        <f>COUNTIFS('Patient Log'!J:J,4.1,'Patient Log'!K:K,16)</f>
        <v>0</v>
      </c>
    </row>
    <row r="41" spans="1:13" x14ac:dyDescent="0.3">
      <c r="A41" s="22">
        <v>4.3</v>
      </c>
      <c r="B41" s="6">
        <f>COUNTIFS('Patient Log'!J:J,4.3,'Patient Log'!K:K,6)</f>
        <v>0</v>
      </c>
      <c r="C41" s="6">
        <f>COUNTIFS('Patient Log'!J:J,4.3,'Patient Log'!K:K,7)</f>
        <v>0</v>
      </c>
      <c r="D41" s="6">
        <f>COUNTIFS('Patient Log'!J:J,4.3,'Patient Log'!K:K,8)</f>
        <v>0</v>
      </c>
      <c r="E41" s="6">
        <f>COUNTIFS('Patient Log'!J:J,4.3,'Patient Log'!K:K,8.5)</f>
        <v>0</v>
      </c>
      <c r="F41" s="6">
        <f>COUNTIFS('Patient Log'!J:J,4.3,'Patient Log'!K:K,10)</f>
        <v>1</v>
      </c>
      <c r="G41" s="6">
        <f>COUNTIFS('Patient Log'!J:J,4.3,'Patient Log'!K:K,11.5)</f>
        <v>1</v>
      </c>
      <c r="H41" s="6">
        <f>COUNTIFS('Patient Log'!J:J,4.3,'Patient Log'!K:K,12)</f>
        <v>0</v>
      </c>
      <c r="I41" s="6">
        <f>COUNTIFS('Patient Log'!J:J,4.3,'Patient Log'!K:K,13)</f>
        <v>0</v>
      </c>
      <c r="J41" s="6">
        <f>COUNTIFS('Patient Log'!J:J,4.3,'Patient Log'!K:K,14)</f>
        <v>0</v>
      </c>
      <c r="K41" s="6">
        <f>COUNTIFS('Patient Log'!J:J,4.3,'Patient Log'!K:K,16)</f>
        <v>0</v>
      </c>
    </row>
    <row r="42" spans="1:13" x14ac:dyDescent="0.3">
      <c r="A42" s="22">
        <v>4.5</v>
      </c>
      <c r="B42" s="2">
        <f>COUNTIFS('Patient Log'!J:J,4.5,'Patient Log'!K:K,6)</f>
        <v>0</v>
      </c>
      <c r="C42" s="2">
        <f>COUNTIFS('Patient Log'!J:J,4.5,'Patient Log'!K:K,7)</f>
        <v>0</v>
      </c>
      <c r="D42" s="2">
        <f>COUNTIFS('Patient Log'!J:J,4.5,'Patient Log'!K:K,8)</f>
        <v>0</v>
      </c>
      <c r="E42" s="2">
        <f>COUNTIFS('Patient Log'!J:J,4.5,'Patient Log'!K:K,8.5)</f>
        <v>0</v>
      </c>
      <c r="F42" s="2">
        <f>COUNTIFS('Patient Log'!J:J,4.5,'Patient Log'!K:K,10)</f>
        <v>0</v>
      </c>
      <c r="G42" s="2">
        <f>COUNTIFS('Patient Log'!J:J,4.5,'Patient Log'!K:K,11.5)</f>
        <v>1</v>
      </c>
      <c r="H42" s="2">
        <f>COUNTIFS('Patient Log'!J:J,4.5,'Patient Log'!K:K,12)</f>
        <v>0</v>
      </c>
      <c r="I42" s="2">
        <f>COUNTIFS('Patient Log'!J:J,4.5,'Patient Log'!K:K,13)</f>
        <v>1</v>
      </c>
      <c r="J42" s="2">
        <f>COUNTIFS('Patient Log'!J:J,4.5,'Patient Log'!K:K,14)</f>
        <v>0</v>
      </c>
      <c r="K42" s="2">
        <f>COUNTIFS('Patient Log'!J:J,4.5,'Patient Log'!K:K,16)</f>
        <v>0</v>
      </c>
    </row>
    <row r="43" spans="1:13" x14ac:dyDescent="0.3">
      <c r="A43" s="22">
        <v>4.7</v>
      </c>
      <c r="B43" s="6">
        <f>COUNTIFS('Patient Log'!J:J,4.7,'Patient Log'!K:K,6)</f>
        <v>0</v>
      </c>
      <c r="C43" s="6">
        <f>COUNTIFS('Patient Log'!J:J,4.7,'Patient Log'!K:K,7)</f>
        <v>0</v>
      </c>
      <c r="D43" s="6">
        <f>COUNTIFS('Patient Log'!J:J,4.7,'Patient Log'!K:K,8)</f>
        <v>0</v>
      </c>
      <c r="E43" s="6">
        <f>COUNTIFS('Patient Log'!J:J,4.7,'Patient Log'!K:K,8.5)</f>
        <v>0</v>
      </c>
      <c r="F43" s="6">
        <f>COUNTIFS('Patient Log'!J:J,4.7,'Patient Log'!K:K,10)</f>
        <v>0</v>
      </c>
      <c r="G43" s="6">
        <f>COUNTIFS('Patient Log'!J:J,4.7,'Patient Log'!K:K,11.5)</f>
        <v>1</v>
      </c>
      <c r="H43" s="6">
        <f>COUNTIFS('Patient Log'!J:J,4.7,'Patient Log'!K:K,12)</f>
        <v>0</v>
      </c>
      <c r="I43" s="6">
        <f>COUNTIFS('Patient Log'!J:J,4.7,'Patient Log'!K:K,13)</f>
        <v>0</v>
      </c>
      <c r="J43" s="6">
        <f>COUNTIFS('Patient Log'!J:J,4.7,'Patient Log'!K:K,14)</f>
        <v>0</v>
      </c>
      <c r="K43" s="6">
        <f>COUNTIFS('Patient Log'!J:J,4.7,'Patient Log'!K:K,16)</f>
        <v>0</v>
      </c>
    </row>
    <row r="44" spans="1:13" x14ac:dyDescent="0.3">
      <c r="A44" s="22">
        <v>4.8</v>
      </c>
      <c r="B44" s="2">
        <f>COUNTIFS('Patient Log'!J:J,4.8,'Patient Log'!K:K,6)</f>
        <v>0</v>
      </c>
      <c r="C44" s="2">
        <f>COUNTIFS('Patient Log'!J:J,4.8,'Patient Log'!K:K,7)</f>
        <v>0</v>
      </c>
      <c r="D44" s="2">
        <f>COUNTIFS('Patient Log'!J:J,4.8,'Patient Log'!K:K,8)</f>
        <v>0</v>
      </c>
      <c r="E44" s="2">
        <f>COUNTIFS('Patient Log'!J:J,4.8,'Patient Log'!K:K,8.5)</f>
        <v>0</v>
      </c>
      <c r="F44" s="2">
        <f>COUNTIFS('Patient Log'!J:J,4.8,'Patient Log'!K:K,10)</f>
        <v>1</v>
      </c>
      <c r="G44" s="2">
        <f>COUNTIFS('Patient Log'!J:J,4.8,'Patient Log'!K:K,11.5)</f>
        <v>0</v>
      </c>
      <c r="H44" s="2">
        <f>COUNTIFS('Patient Log'!J:J,4.8,'Patient Log'!K:K,12)</f>
        <v>0</v>
      </c>
      <c r="I44" s="2">
        <f>COUNTIFS('Patient Log'!J:J,4.8,'Patient Log'!K:K,13)</f>
        <v>0</v>
      </c>
      <c r="J44" s="2">
        <f>COUNTIFS('Patient Log'!J:J,4.8,'Patient Log'!K:K,14)</f>
        <v>0</v>
      </c>
      <c r="K44" s="2">
        <f>COUNTIFS('Patient Log'!J:J,4.8,'Patient Log'!K:K,16)</f>
        <v>0</v>
      </c>
    </row>
    <row r="45" spans="1:13" x14ac:dyDescent="0.3">
      <c r="A45" s="22">
        <v>5</v>
      </c>
      <c r="B45" s="6">
        <f>COUNTIFS('Patient Log'!J:J,5,'Patient Log'!K:K,6)</f>
        <v>0</v>
      </c>
      <c r="C45" s="6">
        <f>COUNTIFS('Patient Log'!J:J,5,'Patient Log'!K:K,7)</f>
        <v>0</v>
      </c>
      <c r="D45" s="6">
        <f>COUNTIFS('Patient Log'!J:J,5,'Patient Log'!K:K,8)</f>
        <v>0</v>
      </c>
      <c r="E45" s="6">
        <f>COUNTIFS('Patient Log'!J:J,5,'Patient Log'!K:K,8.5)</f>
        <v>0</v>
      </c>
      <c r="F45" s="6">
        <f>COUNTIFS('Patient Log'!J:J,5,'Patient Log'!K:K,10)</f>
        <v>1</v>
      </c>
      <c r="G45" s="6">
        <f>COUNTIFS('Patient Log'!J:J,5,'Patient Log'!K:K,11.5)</f>
        <v>0</v>
      </c>
      <c r="H45" s="6">
        <f>COUNTIFS('Patient Log'!J:J,5,'Patient Log'!K:K,12)</f>
        <v>0</v>
      </c>
      <c r="I45" s="6">
        <f>COUNTIFS('Patient Log'!J:J,5,'Patient Log'!K:K,13)</f>
        <v>0</v>
      </c>
      <c r="J45" s="6">
        <f>COUNTIFS('Patient Log'!J:J,5,'Patient Log'!K:K,14)</f>
        <v>0</v>
      </c>
      <c r="K45" s="6">
        <f>COUNTIFS('Patient Log'!J:J,5,'Patient Log'!K:K,16)</f>
        <v>0</v>
      </c>
    </row>
    <row r="46" spans="1:13" x14ac:dyDescent="0.3">
      <c r="A46" s="22">
        <v>5.5</v>
      </c>
      <c r="B46" s="2">
        <f>COUNTIFS('Patient Log'!J:J,5.5,'Patient Log'!K:K,6)</f>
        <v>0</v>
      </c>
      <c r="C46" s="2">
        <f>COUNTIFS('Patient Log'!J:J,5.5,'Patient Log'!K:K,7)</f>
        <v>0</v>
      </c>
      <c r="D46" s="2">
        <f>COUNTIFS('Patient Log'!J:J,5.5,'Patient Log'!K:K,8)</f>
        <v>0</v>
      </c>
      <c r="E46" s="2">
        <f>COUNTIFS('Patient Log'!J:J,5.5,'Patient Log'!K:K,8.5)</f>
        <v>0</v>
      </c>
      <c r="F46" s="2">
        <f>COUNTIFS('Patient Log'!J:J,5.5,'Patient Log'!K:K,10)</f>
        <v>0</v>
      </c>
      <c r="G46" s="2">
        <f>COUNTIFS('Patient Log'!J:J,5.5,'Patient Log'!K:K,11.5)</f>
        <v>0</v>
      </c>
      <c r="H46" s="2">
        <f>COUNTIFS('Patient Log'!J:J,5.5,'Patient Log'!K:K,12)</f>
        <v>0</v>
      </c>
      <c r="I46" s="2">
        <f>COUNTIFS('Patient Log'!J:J,5.5,'Patient Log'!K:K,13)</f>
        <v>0</v>
      </c>
      <c r="J46" s="2">
        <f>COUNTIFS('Patient Log'!J:J,5.5,'Patient Log'!K:K,14)</f>
        <v>0</v>
      </c>
      <c r="K46" s="2">
        <f>COUNTIFS('Patient Log'!J:J,5.5,'Patient Log'!K:K,16)</f>
        <v>0</v>
      </c>
    </row>
    <row r="47" spans="1:13" x14ac:dyDescent="0.3">
      <c r="A47" s="22">
        <v>6</v>
      </c>
      <c r="B47" s="6">
        <f>COUNTIFS('Patient Log'!J:J,6,'Patient Log'!K:K,6)</f>
        <v>0</v>
      </c>
      <c r="C47" s="6">
        <f>COUNTIFS('Patient Log'!J:J,6,'Patient Log'!K:K,7)</f>
        <v>0</v>
      </c>
      <c r="D47" s="6">
        <f>COUNTIFS('Patient Log'!J:J,6,'Patient Log'!K:K,8)</f>
        <v>0</v>
      </c>
      <c r="E47" s="6">
        <f>COUNTIFS('Patient Log'!J:J,6,'Patient Log'!K:K,8.5)</f>
        <v>0</v>
      </c>
      <c r="F47" s="6">
        <f>COUNTIFS('Patient Log'!J:J,6,'Patient Log'!K:K,10)</f>
        <v>0</v>
      </c>
      <c r="G47" s="6">
        <f>COUNTIFS('Patient Log'!J:J,6,'Patient Log'!K:K,11.5)</f>
        <v>0</v>
      </c>
      <c r="H47" s="6">
        <f>COUNTIFS('Patient Log'!J:J,6,'Patient Log'!K:K,12)</f>
        <v>0</v>
      </c>
      <c r="I47" s="6">
        <f>COUNTIFS('Patient Log'!J:J,6,'Patient Log'!K:K,13)</f>
        <v>0</v>
      </c>
      <c r="J47" s="6">
        <f>COUNTIFS('Patient Log'!J:J,6,'Patient Log'!K:K,14)</f>
        <v>0</v>
      </c>
      <c r="K47" s="6">
        <f>COUNTIFS('Patient Log'!J:J,6,'Patient Log'!K:K,16)</f>
        <v>0</v>
      </c>
    </row>
  </sheetData>
  <mergeCells count="5">
    <mergeCell ref="A2:E2"/>
    <mergeCell ref="A19:B19"/>
    <mergeCell ref="A34:M34"/>
    <mergeCell ref="A1:E1"/>
    <mergeCell ref="A3:B3"/>
  </mergeCells>
  <conditionalFormatting sqref="B5:B16">
    <cfRule type="dataBar" priority="1">
      <dataBar>
        <cfvo type="min"/>
        <cfvo type="max"/>
        <color rgb="FF2E86AB"/>
      </dataBar>
    </cfRule>
  </conditionalFormatting>
  <conditionalFormatting sqref="B21:B30">
    <cfRule type="dataBar" priority="2">
      <dataBar>
        <cfvo type="min"/>
        <cfvo type="max"/>
        <color rgb="FF2E86AB"/>
      </dataBar>
    </cfRule>
  </conditionalFormatting>
  <conditionalFormatting sqref="B36:K47">
    <cfRule type="colorScale" priority="3">
      <colorScale>
        <cfvo type="min"/>
        <cfvo type="percentile" val="50"/>
        <cfvo type="max"/>
        <color rgb="FFFFFFFF"/>
        <color rgb="FFA8D8EA"/>
        <color rgb="FF1A3A5C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838"/>
  </sheetPr>
  <dimension ref="A1:D21"/>
  <sheetViews>
    <sheetView showGridLines="0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0" customWidth="1"/>
    <col min="2" max="2" width="16" customWidth="1"/>
    <col min="3" max="3" width="12" customWidth="1"/>
    <col min="4" max="4" width="30" customWidth="1"/>
  </cols>
  <sheetData>
    <row r="1" spans="1:4" ht="31.95" customHeight="1" x14ac:dyDescent="0.3">
      <c r="A1" s="33" t="s">
        <v>124</v>
      </c>
      <c r="B1" s="29"/>
      <c r="C1" s="29"/>
      <c r="D1" s="29"/>
    </row>
    <row r="2" spans="1:4" x14ac:dyDescent="0.3">
      <c r="A2" s="31" t="s">
        <v>125</v>
      </c>
      <c r="B2" s="29"/>
      <c r="C2" s="29"/>
      <c r="D2" s="29"/>
    </row>
    <row r="3" spans="1:4" x14ac:dyDescent="0.3">
      <c r="A3" s="34" t="s">
        <v>126</v>
      </c>
      <c r="B3" s="29"/>
    </row>
    <row r="4" spans="1:4" ht="36" customHeight="1" x14ac:dyDescent="0.3">
      <c r="A4" s="1" t="s">
        <v>127</v>
      </c>
      <c r="B4" s="1" t="s">
        <v>117</v>
      </c>
      <c r="C4" s="1" t="s">
        <v>118</v>
      </c>
      <c r="D4" s="1" t="s">
        <v>128</v>
      </c>
    </row>
    <row r="5" spans="1:4" x14ac:dyDescent="0.3">
      <c r="A5" s="7" t="s">
        <v>26</v>
      </c>
      <c r="B5" s="13">
        <f>COUNTIF('Patient Log'!H:H,A5)</f>
        <v>5</v>
      </c>
      <c r="C5" s="14">
        <f t="shared" ref="C5:C12" si="0">IFERROR(B5/SUM(B$5:B$12),0)</f>
        <v>0.33333333333333331</v>
      </c>
      <c r="D5" s="7" t="str">
        <f ca="1">IFERROR(TEXTJOIN(", ",TRUE,UNIQUE(IF('Patient Log'!H$4:H$10000=A5,'Patient Log'!I$4:I$10000,"")))&amp;"","")</f>
        <v/>
      </c>
    </row>
    <row r="6" spans="1:4" x14ac:dyDescent="0.3">
      <c r="A6" s="3" t="s">
        <v>36</v>
      </c>
      <c r="B6" s="10">
        <f>COUNTIF('Patient Log'!H:H,A6)</f>
        <v>4</v>
      </c>
      <c r="C6" s="11">
        <f t="shared" si="0"/>
        <v>0.26666666666666666</v>
      </c>
      <c r="D6" s="3" t="str">
        <f ca="1">IFERROR(TEXTJOIN(", ",TRUE,UNIQUE(IF('Patient Log'!H$4:H$10000=A6,'Patient Log'!I$4:I$10000,"")))&amp;"","")</f>
        <v/>
      </c>
    </row>
    <row r="7" spans="1:4" x14ac:dyDescent="0.3">
      <c r="A7" s="7" t="s">
        <v>48</v>
      </c>
      <c r="B7" s="13">
        <f>COUNTIF('Patient Log'!H:H,A7)</f>
        <v>2</v>
      </c>
      <c r="C7" s="14">
        <f t="shared" si="0"/>
        <v>0.13333333333333333</v>
      </c>
      <c r="D7" s="7" t="str">
        <f ca="1">IFERROR(TEXTJOIN(", ",TRUE,UNIQUE(IF('Patient Log'!H$4:H$10000=A7,'Patient Log'!I$4:I$10000,"")))&amp;"","")</f>
        <v/>
      </c>
    </row>
    <row r="8" spans="1:4" x14ac:dyDescent="0.3">
      <c r="A8" s="3" t="s">
        <v>57</v>
      </c>
      <c r="B8" s="10">
        <f>COUNTIF('Patient Log'!H:H,A8)</f>
        <v>2</v>
      </c>
      <c r="C8" s="11">
        <f t="shared" si="0"/>
        <v>0.13333333333333333</v>
      </c>
      <c r="D8" s="3" t="str">
        <f ca="1">IFERROR(TEXTJOIN(", ",TRUE,UNIQUE(IF('Patient Log'!H$4:H$10000=A8,'Patient Log'!I$4:I$10000,"")))&amp;"","")</f>
        <v/>
      </c>
    </row>
    <row r="9" spans="1:4" x14ac:dyDescent="0.3">
      <c r="A9" s="7" t="s">
        <v>66</v>
      </c>
      <c r="B9" s="13">
        <f>COUNTIF('Patient Log'!H:H,A9)</f>
        <v>2</v>
      </c>
      <c r="C9" s="14">
        <f t="shared" si="0"/>
        <v>0.13333333333333333</v>
      </c>
      <c r="D9" s="7" t="str">
        <f ca="1">IFERROR(TEXTJOIN(", ",TRUE,UNIQUE(IF('Patient Log'!H$4:H$10000=A9,'Patient Log'!I$4:I$10000,"")))&amp;"","")</f>
        <v/>
      </c>
    </row>
    <row r="10" spans="1:4" x14ac:dyDescent="0.3">
      <c r="A10" s="3" t="s">
        <v>129</v>
      </c>
      <c r="B10" s="10">
        <f>COUNTIF('Patient Log'!H:H,A10)</f>
        <v>0</v>
      </c>
      <c r="C10" s="11">
        <f t="shared" si="0"/>
        <v>0</v>
      </c>
      <c r="D10" s="3" t="str">
        <f ca="1">IFERROR(TEXTJOIN(", ",TRUE,UNIQUE(IF('Patient Log'!H$4:H$10000=A10,'Patient Log'!I$4:I$10000,"")))&amp;"","")</f>
        <v/>
      </c>
    </row>
    <row r="11" spans="1:4" x14ac:dyDescent="0.3">
      <c r="A11" s="7" t="s">
        <v>130</v>
      </c>
      <c r="B11" s="13">
        <f>COUNTIF('Patient Log'!H:H,A11)</f>
        <v>0</v>
      </c>
      <c r="C11" s="14">
        <f t="shared" si="0"/>
        <v>0</v>
      </c>
      <c r="D11" s="7" t="str">
        <f ca="1">IFERROR(TEXTJOIN(", ",TRUE,UNIQUE(IF('Patient Log'!H$4:H$10000=A11,'Patient Log'!I$4:I$10000,"")))&amp;"","")</f>
        <v/>
      </c>
    </row>
    <row r="12" spans="1:4" x14ac:dyDescent="0.3">
      <c r="A12" s="3" t="s">
        <v>131</v>
      </c>
      <c r="B12" s="10">
        <f>COUNTIF('Patient Log'!H:H,A12)</f>
        <v>0</v>
      </c>
      <c r="C12" s="11">
        <f t="shared" si="0"/>
        <v>0</v>
      </c>
      <c r="D12" s="3" t="str">
        <f ca="1">IFERROR(TEXTJOIN(", ",TRUE,UNIQUE(IF('Patient Log'!H$4:H$10000=A12,'Patient Log'!I$4:I$10000,"")))&amp;"","")</f>
        <v/>
      </c>
    </row>
    <row r="13" spans="1:4" x14ac:dyDescent="0.3">
      <c r="A13" s="16" t="s">
        <v>112</v>
      </c>
      <c r="B13" s="16">
        <f>SUM(B5:B12)</f>
        <v>15</v>
      </c>
      <c r="C13" s="16"/>
      <c r="D13" s="16"/>
    </row>
    <row r="15" spans="1:4" x14ac:dyDescent="0.3">
      <c r="A15" s="34" t="s">
        <v>132</v>
      </c>
      <c r="B15" s="29"/>
    </row>
    <row r="16" spans="1:4" x14ac:dyDescent="0.3">
      <c r="A16" s="1" t="s">
        <v>5</v>
      </c>
      <c r="B16" s="1" t="s">
        <v>133</v>
      </c>
      <c r="C16" s="1" t="s">
        <v>94</v>
      </c>
      <c r="D16" s="1" t="s">
        <v>134</v>
      </c>
    </row>
    <row r="17" spans="1:4" x14ac:dyDescent="0.3">
      <c r="A17" s="23" t="s">
        <v>22</v>
      </c>
      <c r="B17" s="13">
        <f>COUNTIF('Patient Log'!D:D,A17)</f>
        <v>6</v>
      </c>
      <c r="C17" s="14">
        <f>IFERROR(B17/SUM(B$17:B$20),0)</f>
        <v>0.4</v>
      </c>
      <c r="D17" s="23" t="str">
        <f ca="1">IFERROR(TEXTJOIN(", ",TRUE,UNIQUE(IF('Patient Log'!D$4:D$10000=A17,'Patient Log'!E$4:E$10000,"")))&amp;"","")</f>
        <v/>
      </c>
    </row>
    <row r="18" spans="1:4" x14ac:dyDescent="0.3">
      <c r="A18" s="24" t="s">
        <v>33</v>
      </c>
      <c r="B18" s="10">
        <f>COUNTIF('Patient Log'!D:D,A18)</f>
        <v>5</v>
      </c>
      <c r="C18" s="11">
        <f>IFERROR(B18/SUM(B$17:B$20),0)</f>
        <v>0.33333333333333331</v>
      </c>
      <c r="D18" s="24" t="str">
        <f ca="1">IFERROR(TEXTJOIN(", ",TRUE,UNIQUE(IF('Patient Log'!D$4:D$10000=A18,'Patient Log'!E$4:E$10000,"")))&amp;"","")</f>
        <v/>
      </c>
    </row>
    <row r="19" spans="1:4" x14ac:dyDescent="0.3">
      <c r="A19" s="23" t="s">
        <v>46</v>
      </c>
      <c r="B19" s="13">
        <f>COUNTIF('Patient Log'!D:D,A19)</f>
        <v>4</v>
      </c>
      <c r="C19" s="14">
        <f>IFERROR(B19/SUM(B$17:B$20),0)</f>
        <v>0.26666666666666666</v>
      </c>
      <c r="D19" s="23" t="str">
        <f ca="1">IFERROR(TEXTJOIN(", ",TRUE,UNIQUE(IF('Patient Log'!D$4:D$10000=A19,'Patient Log'!E$4:E$10000,"")))&amp;"","")</f>
        <v/>
      </c>
    </row>
    <row r="20" spans="1:4" x14ac:dyDescent="0.3">
      <c r="A20" s="24" t="s">
        <v>131</v>
      </c>
      <c r="B20" s="10">
        <f>COUNTIF('Patient Log'!D:D,A20)</f>
        <v>0</v>
      </c>
      <c r="C20" s="11">
        <f>IFERROR(B20/SUM(B$17:B$20),0)</f>
        <v>0</v>
      </c>
      <c r="D20" s="24" t="str">
        <f ca="1">IFERROR(TEXTJOIN(", ",TRUE,UNIQUE(IF('Patient Log'!D$4:D$10000=A20,'Patient Log'!E$4:E$10000,"")))&amp;"","")</f>
        <v/>
      </c>
    </row>
    <row r="21" spans="1:4" x14ac:dyDescent="0.3">
      <c r="A21" s="16" t="s">
        <v>112</v>
      </c>
      <c r="B21" s="16">
        <f>SUM(B17:B20)</f>
        <v>15</v>
      </c>
      <c r="C21" s="16"/>
      <c r="D21" s="16"/>
    </row>
  </sheetData>
  <mergeCells count="4">
    <mergeCell ref="A1:D1"/>
    <mergeCell ref="A3:B3"/>
    <mergeCell ref="A2:D2"/>
    <mergeCell ref="A15:B15"/>
  </mergeCells>
  <conditionalFormatting sqref="B5:B12">
    <cfRule type="dataBar" priority="1">
      <dataBar>
        <cfvo type="min"/>
        <cfvo type="max"/>
        <color rgb="FF2E86AB"/>
      </dataBar>
    </cfRule>
  </conditionalFormatting>
  <conditionalFormatting sqref="B17:B20">
    <cfRule type="dataBar" priority="2">
      <dataBar>
        <cfvo type="min"/>
        <cfvo type="max"/>
        <color rgb="FF2E86AB"/>
      </dataBar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43"/>
  <sheetViews>
    <sheetView showGridLines="0" topLeftCell="A25" workbookViewId="0"/>
  </sheetViews>
  <sheetFormatPr defaultRowHeight="14.4" x14ac:dyDescent="0.3"/>
  <cols>
    <col min="1" max="1" width="110" customWidth="1"/>
  </cols>
  <sheetData>
    <row r="1" spans="1:1" ht="30" customHeight="1" x14ac:dyDescent="0.3">
      <c r="A1" s="35" t="s">
        <v>135</v>
      </c>
    </row>
    <row r="2" spans="1:1" x14ac:dyDescent="0.3">
      <c r="A2" s="25"/>
    </row>
    <row r="3" spans="1:1" ht="24" customHeight="1" x14ac:dyDescent="0.3">
      <c r="A3" s="26" t="s">
        <v>136</v>
      </c>
    </row>
    <row r="4" spans="1:1" x14ac:dyDescent="0.3">
      <c r="A4" s="25"/>
    </row>
    <row r="5" spans="1:1" x14ac:dyDescent="0.3">
      <c r="A5" s="27" t="s">
        <v>137</v>
      </c>
    </row>
    <row r="6" spans="1:1" x14ac:dyDescent="0.3">
      <c r="A6" s="25" t="s">
        <v>138</v>
      </c>
    </row>
    <row r="7" spans="1:1" x14ac:dyDescent="0.3">
      <c r="A7" s="25" t="s">
        <v>139</v>
      </c>
    </row>
    <row r="8" spans="1:1" x14ac:dyDescent="0.3">
      <c r="A8" s="25" t="s">
        <v>140</v>
      </c>
    </row>
    <row r="9" spans="1:1" x14ac:dyDescent="0.3">
      <c r="A9" s="25" t="s">
        <v>141</v>
      </c>
    </row>
    <row r="10" spans="1:1" x14ac:dyDescent="0.3">
      <c r="A10" s="25"/>
    </row>
    <row r="11" spans="1:1" x14ac:dyDescent="0.3">
      <c r="A11" s="27" t="s">
        <v>142</v>
      </c>
    </row>
    <row r="12" spans="1:1" x14ac:dyDescent="0.3">
      <c r="A12" s="25" t="s">
        <v>143</v>
      </c>
    </row>
    <row r="13" spans="1:1" x14ac:dyDescent="0.3">
      <c r="A13" s="25" t="s">
        <v>144</v>
      </c>
    </row>
    <row r="14" spans="1:1" x14ac:dyDescent="0.3">
      <c r="A14" s="25" t="s">
        <v>145</v>
      </c>
    </row>
    <row r="15" spans="1:1" x14ac:dyDescent="0.3">
      <c r="A15" s="25" t="s">
        <v>146</v>
      </c>
    </row>
    <row r="16" spans="1:1" x14ac:dyDescent="0.3">
      <c r="A16" s="25"/>
    </row>
    <row r="17" spans="1:1" x14ac:dyDescent="0.3">
      <c r="A17" s="27" t="s">
        <v>147</v>
      </c>
    </row>
    <row r="18" spans="1:1" x14ac:dyDescent="0.3">
      <c r="A18" s="25" t="s">
        <v>148</v>
      </c>
    </row>
    <row r="19" spans="1:1" x14ac:dyDescent="0.3">
      <c r="A19" s="25" t="s">
        <v>149</v>
      </c>
    </row>
    <row r="20" spans="1:1" x14ac:dyDescent="0.3">
      <c r="A20" s="25" t="s">
        <v>150</v>
      </c>
    </row>
    <row r="21" spans="1:1" x14ac:dyDescent="0.3">
      <c r="A21" s="25" t="s">
        <v>151</v>
      </c>
    </row>
    <row r="22" spans="1:1" x14ac:dyDescent="0.3">
      <c r="A22" s="25" t="s">
        <v>152</v>
      </c>
    </row>
    <row r="23" spans="1:1" x14ac:dyDescent="0.3">
      <c r="A23" s="25" t="s">
        <v>153</v>
      </c>
    </row>
    <row r="24" spans="1:1" x14ac:dyDescent="0.3">
      <c r="A24" s="25" t="s">
        <v>154</v>
      </c>
    </row>
    <row r="25" spans="1:1" x14ac:dyDescent="0.3">
      <c r="A25" s="25" t="s">
        <v>155</v>
      </c>
    </row>
    <row r="26" spans="1:1" x14ac:dyDescent="0.3">
      <c r="A26" s="25" t="s">
        <v>156</v>
      </c>
    </row>
    <row r="27" spans="1:1" x14ac:dyDescent="0.3">
      <c r="A27" s="25" t="s">
        <v>157</v>
      </c>
    </row>
    <row r="28" spans="1:1" x14ac:dyDescent="0.3">
      <c r="A28" s="25" t="s">
        <v>158</v>
      </c>
    </row>
    <row r="29" spans="1:1" x14ac:dyDescent="0.3">
      <c r="A29" s="25" t="s">
        <v>159</v>
      </c>
    </row>
    <row r="30" spans="1:1" x14ac:dyDescent="0.3">
      <c r="A30" s="25" t="s">
        <v>160</v>
      </c>
    </row>
    <row r="31" spans="1:1" x14ac:dyDescent="0.3">
      <c r="A31" s="25" t="s">
        <v>161</v>
      </c>
    </row>
    <row r="32" spans="1:1" x14ac:dyDescent="0.3">
      <c r="A32" s="25" t="s">
        <v>162</v>
      </c>
    </row>
    <row r="33" spans="1:1" x14ac:dyDescent="0.3">
      <c r="A33" s="25" t="s">
        <v>163</v>
      </c>
    </row>
    <row r="34" spans="1:1" x14ac:dyDescent="0.3">
      <c r="A34" s="25" t="s">
        <v>164</v>
      </c>
    </row>
    <row r="35" spans="1:1" x14ac:dyDescent="0.3">
      <c r="A35" s="25" t="s">
        <v>165</v>
      </c>
    </row>
    <row r="36" spans="1:1" x14ac:dyDescent="0.3">
      <c r="A36" s="25" t="s">
        <v>166</v>
      </c>
    </row>
    <row r="37" spans="1:1" x14ac:dyDescent="0.3">
      <c r="A37" s="25"/>
    </row>
    <row r="38" spans="1:1" x14ac:dyDescent="0.3">
      <c r="A38" s="27" t="s">
        <v>167</v>
      </c>
    </row>
    <row r="39" spans="1:1" x14ac:dyDescent="0.3">
      <c r="A39" s="25" t="s">
        <v>168</v>
      </c>
    </row>
    <row r="40" spans="1:1" x14ac:dyDescent="0.3">
      <c r="A40" s="25" t="s">
        <v>169</v>
      </c>
    </row>
    <row r="41" spans="1:1" x14ac:dyDescent="0.3">
      <c r="A41" s="25" t="s">
        <v>170</v>
      </c>
    </row>
    <row r="42" spans="1:1" x14ac:dyDescent="0.3">
      <c r="A42" s="25" t="s">
        <v>171</v>
      </c>
    </row>
    <row r="43" spans="1:1" x14ac:dyDescent="0.3">
      <c r="A43" s="25" t="s">
        <v>172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 Log</vt:lpstr>
      <vt:lpstr>Site Analysis</vt:lpstr>
      <vt:lpstr>Dimension Analysis</vt:lpstr>
      <vt:lpstr>Brand &amp; Surgeon Summary</vt:lpstr>
      <vt:lpstr>Instructions &amp; Key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Midhilesh Krishna</cp:lastModifiedBy>
  <dcterms:created xsi:type="dcterms:W3CDTF">2026-03-23T14:13:37Z</dcterms:created>
  <dcterms:modified xsi:type="dcterms:W3CDTF">2026-03-23T16:31:23Z</dcterms:modified>
</cp:coreProperties>
</file>